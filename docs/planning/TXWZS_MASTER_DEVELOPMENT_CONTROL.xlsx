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8.xml" ContentType="application/vnd.openxmlformats-officedocument.spreadsheetml.table+xml"/>
  <Override PartName="/xl/tables/table12.xml" ContentType="application/vnd.openxmlformats-officedocument.spreadsheetml.table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9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使用说明" sheetId="1" state="visible" r:id="rId3"/>
    <sheet name="01_当前基线" sheetId="2" state="visible" r:id="rId4"/>
    <sheet name="02_长期路线图" sheetId="3" state="visible" r:id="rId5"/>
    <sheet name="03_任务总表" sheetId="4" state="visible" r:id="rId6"/>
    <sheet name="04_依赖与阶段门" sheetId="5" state="visible" r:id="rId7"/>
    <sheet name="05_验收矩阵" sheetId="6" state="visible" r:id="rId8"/>
    <sheet name="06_测试矩阵" sheetId="7" state="visible" r:id="rId9"/>
    <sheet name="07_阶段执行记录" sheetId="8" state="visible" r:id="rId10"/>
    <sheet name="08_独立复查记录" sheetId="9" state="visible" r:id="rId11"/>
    <sheet name="09_风险与决策" sheetId="10" state="visible" r:id="rId12"/>
    <sheet name="10_变更日志" sheetId="11" state="visible" r:id="rId13"/>
    <sheet name="11_禁止范围与保护" sheetId="12" state="visible" r:id="rId14"/>
    <sheet name="12_数据对象与所有权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<sst xmlns="http://schemas.openxmlformats.org/spreadsheetml/2006/main" count="5222" uniqueCount="1896">
  <si>
    <r>
      <rPr>
        <b val="true"/>
        <sz val="16"/>
        <color rgb="FFFFFFFF"/>
        <rFont val="Hiragino Sans GB"/>
        <family val="0"/>
        <charset val="1"/>
      </rPr>
      <t xml:space="preserve">TXWZS </t>
    </r>
    <r>
      <rPr>
        <b val="true"/>
        <sz val="16"/>
        <color rgb="FFFFFFFF"/>
        <rFont val="Linux Libertine G"/>
        <family val="2"/>
      </rPr>
      <t xml:space="preserve">长期开发控制系统</t>
    </r>
  </si>
  <si>
    <r>
      <rPr>
        <i val="true"/>
        <sz val="10"/>
        <color rgb="FF34495E"/>
        <rFont val="Hiragino Sans GB"/>
        <family val="0"/>
        <charset val="1"/>
      </rPr>
      <t xml:space="preserve">Excel </t>
    </r>
    <r>
      <rPr>
        <i val="true"/>
        <sz val="10"/>
        <color rgb="FF34495E"/>
        <rFont val="Linux Libertine G"/>
        <family val="2"/>
      </rPr>
      <t xml:space="preserve">是人类操作界面；</t>
    </r>
    <r>
      <rPr>
        <i val="true"/>
        <sz val="10"/>
        <color rgb="FF34495E"/>
        <rFont val="Hiragino Sans GB"/>
        <family val="0"/>
        <charset val="1"/>
      </rPr>
      <t xml:space="preserve">Git</t>
    </r>
    <r>
      <rPr>
        <i val="true"/>
        <sz val="10"/>
        <color rgb="FF34495E"/>
        <rFont val="Linux Libertine G"/>
        <family val="2"/>
      </rPr>
      <t xml:space="preserve">、代码、测试和实际运行才是事实来源。</t>
    </r>
  </si>
  <si>
    <t xml:space="preserve">字段</t>
  </si>
  <si>
    <t xml:space="preserve">内容</t>
  </si>
  <si>
    <t xml:space="preserve">任务状态定义</t>
  </si>
  <si>
    <t xml:space="preserve">计划版本</t>
  </si>
  <si>
    <t xml:space="preserve">0.7.0-v5-p0-p1-implementation-001</t>
  </si>
  <si>
    <t xml:space="preserve">NOT_STARTED</t>
  </si>
  <si>
    <t xml:space="preserve">不计入完成</t>
  </si>
  <si>
    <t xml:space="preserve">正常</t>
  </si>
  <si>
    <t xml:space="preserve">最后更新</t>
  </si>
  <si>
    <t xml:space="preserve">2026-07-30</t>
  </si>
  <si>
    <t xml:space="preserve">READY</t>
  </si>
  <si>
    <r>
      <rPr>
        <sz val="9"/>
        <color rgb="FF24323D"/>
        <rFont val="Linux Libertine G"/>
        <family val="2"/>
      </rPr>
      <t xml:space="preserve">可由主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启动</t>
    </r>
  </si>
  <si>
    <t xml:space="preserve">当前阶段</t>
  </si>
  <si>
    <r>
      <rPr>
        <sz val="9"/>
        <color rgb="FF24323D"/>
        <rFont val="Hiragino Sans GB"/>
        <family val="0"/>
        <charset val="1"/>
      </rPr>
      <t xml:space="preserve">V4 VERIFIED / FROZEN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V5 P0/P1 IMPLEMENTED_PENDING_REVIEW</t>
    </r>
  </si>
  <si>
    <t xml:space="preserve">IN_PROGRESS</t>
  </si>
  <si>
    <t xml:space="preserve">当前唯一推荐下一任务</t>
  </si>
  <si>
    <r>
      <rPr>
        <sz val="9"/>
        <color rgb="FF24323D"/>
        <rFont val="Hiragino Sans GB"/>
        <family val="0"/>
        <charset val="1"/>
      </rPr>
      <t xml:space="preserve">V5 P0/P1 package review</t>
    </r>
    <r>
      <rPr>
        <sz val="9"/>
        <color rgb="FF24323D"/>
        <rFont val="Linux Libertine G"/>
        <family val="2"/>
      </rPr>
      <t xml:space="preserve">（仅 </t>
    </r>
    <r>
      <rPr>
        <sz val="9"/>
        <color rgb="FF24323D"/>
        <rFont val="Hiragino Sans GB"/>
        <family val="0"/>
        <charset val="1"/>
      </rPr>
      <t xml:space="preserve">G0 </t>
    </r>
    <r>
      <rPr>
        <sz val="9"/>
        <color rgb="FF24323D"/>
        <rFont val="Linux Libertine G"/>
        <family val="2"/>
      </rPr>
      <t xml:space="preserve">可完整裁决；</t>
    </r>
    <r>
      <rPr>
        <sz val="9"/>
        <color rgb="FF24323D"/>
        <rFont val="Hiragino Sans GB"/>
        <family val="0"/>
        <charset val="1"/>
      </rPr>
      <t xml:space="preserve">G1/G2 </t>
    </r>
    <r>
      <rPr>
        <sz val="9"/>
        <color rgb="FF24323D"/>
        <rFont val="Linux Libertine G"/>
        <family val="2"/>
      </rPr>
      <t xml:space="preserve">仍为部分进度）</t>
    </r>
  </si>
  <si>
    <t xml:space="preserve">BLOCKED</t>
  </si>
  <si>
    <t xml:space="preserve">阻断</t>
  </si>
  <si>
    <t xml:space="preserve">状态闭环</t>
  </si>
  <si>
    <r>
      <rPr>
        <sz val="9"/>
        <color rgb="FF24323D"/>
        <rFont val="Hiragino Sans GB"/>
        <family val="0"/>
        <charset val="1"/>
      </rPr>
      <t xml:space="preserve">READY → IN_PROGRESS → IMPLEMENTED_PENDING_REVIEW → </t>
    </r>
    <r>
      <rPr>
        <sz val="9"/>
        <color rgb="FF24323D"/>
        <rFont val="Linux Libertine G"/>
        <family val="2"/>
      </rPr>
      <t xml:space="preserve">独立复查 → </t>
    </r>
    <r>
      <rPr>
        <sz val="9"/>
        <color rgb="FF24323D"/>
        <rFont val="Hiragino Sans GB"/>
        <family val="0"/>
        <charset val="1"/>
      </rPr>
      <t xml:space="preserve">VERIFIED</t>
    </r>
  </si>
  <si>
    <t xml:space="preserve">IMPLEMENTED_PENDING_REVIEW</t>
  </si>
  <si>
    <r>
      <rPr>
        <sz val="9"/>
        <color rgb="FF24323D"/>
        <rFont val="Linux Libertine G"/>
        <family val="2"/>
      </rPr>
      <t xml:space="preserve">实现者不得自行改为 </t>
    </r>
    <r>
      <rPr>
        <sz val="9"/>
        <color rgb="FF24323D"/>
        <rFont val="Hiragino Sans GB"/>
        <family val="0"/>
        <charset val="1"/>
      </rPr>
      <t xml:space="preserve">VERIFIED</t>
    </r>
  </si>
  <si>
    <t xml:space="preserve">失败闭环</t>
  </si>
  <si>
    <r>
      <rPr>
        <sz val="9"/>
        <color rgb="FF24323D"/>
        <rFont val="Hiragino Sans GB"/>
        <family val="0"/>
        <charset val="1"/>
      </rPr>
      <t xml:space="preserve">IMPLEMENTED_PENDING_REVIEW → REVIEW_FAILED → </t>
    </r>
    <r>
      <rPr>
        <sz val="9"/>
        <color rgb="FF24323D"/>
        <rFont val="Linux Libertine G"/>
        <family val="2"/>
      </rPr>
      <t xml:space="preserve">修复 → 再复查 → </t>
    </r>
    <r>
      <rPr>
        <sz val="9"/>
        <color rgb="FF24323D"/>
        <rFont val="Hiragino Sans GB"/>
        <family val="0"/>
        <charset val="1"/>
      </rPr>
      <t xml:space="preserve">VERIFIED</t>
    </r>
  </si>
  <si>
    <t xml:space="preserve">REVIEW_FAILED</t>
  </si>
  <si>
    <t xml:space="preserve">完成口径</t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</si>
  <si>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计入阶段完成；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必须关联决策记录并从分母排除。</t>
    </r>
  </si>
  <si>
    <t xml:space="preserve">VERIFIED</t>
  </si>
  <si>
    <t xml:space="preserve">计入完成</t>
  </si>
  <si>
    <t xml:space="preserve">更新权限</t>
  </si>
  <si>
    <r>
      <rPr>
        <sz val="9"/>
        <color rgb="FF24323D"/>
        <rFont val="Hiragino Sans GB"/>
        <family val="0"/>
        <charset val="1"/>
      </rPr>
      <t xml:space="preserve">Main Codex </t>
    </r>
    <r>
      <rPr>
        <sz val="9"/>
        <color rgb="FF24323D"/>
        <rFont val="Linux Libertine G"/>
        <family val="2"/>
      </rPr>
      <t xml:space="preserve">更新实施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证据；</t>
    </r>
    <r>
      <rPr>
        <sz val="9"/>
        <color rgb="FF24323D"/>
        <rFont val="Hiragino Sans GB"/>
        <family val="0"/>
        <charset val="1"/>
      </rPr>
      <t xml:space="preserve">Independent Codex </t>
    </r>
    <r>
      <rPr>
        <sz val="9"/>
        <color rgb="FF24323D"/>
        <rFont val="Linux Libertine G"/>
        <family val="2"/>
      </rPr>
      <t xml:space="preserve">只读复查；用户通过产品与架构门。</t>
    </r>
  </si>
  <si>
    <t xml:space="preserve">DEFERRED</t>
  </si>
  <si>
    <t xml:space="preserve">证据顺序</t>
  </si>
  <si>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配置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当前运行 </t>
    </r>
    <r>
      <rPr>
        <sz val="9"/>
        <color rgb="FF24323D"/>
        <rFont val="Hiragino Sans GB"/>
        <family val="0"/>
        <charset val="1"/>
      </rPr>
      <t xml:space="preserve">&gt; CURRENT_STATE &gt; </t>
    </r>
    <r>
      <rPr>
        <sz val="9"/>
        <color rgb="FF24323D"/>
        <rFont val="Linux Libertine G"/>
        <family val="2"/>
      </rPr>
      <t xml:space="preserve">历史报告 </t>
    </r>
    <r>
      <rPr>
        <sz val="9"/>
        <color rgb="FF24323D"/>
        <rFont val="Hiragino Sans GB"/>
        <family val="0"/>
        <charset val="1"/>
      </rPr>
      <t xml:space="preserve">&gt; </t>
    </r>
    <r>
      <rPr>
        <sz val="9"/>
        <color rgb="FF24323D"/>
        <rFont val="Linux Libertine G"/>
        <family val="2"/>
      </rPr>
      <t xml:space="preserve">规划推断</t>
    </r>
  </si>
  <si>
    <t xml:space="preserve">CANCELLED</t>
  </si>
  <si>
    <t xml:space="preserve">需决策记录；不计分母</t>
  </si>
  <si>
    <t xml:space="preserve">同步规则</t>
  </si>
  <si>
    <r>
      <rPr>
        <sz val="9"/>
        <color rgb="FF24323D"/>
        <rFont val="Hiragino Sans GB"/>
        <family val="0"/>
        <charset val="1"/>
      </rPr>
      <t xml:space="preserve">XLSX </t>
    </r>
    <r>
      <rPr>
        <sz val="9"/>
        <color rgb="FF24323D"/>
        <rFont val="Linux Libertine G"/>
        <family val="2"/>
      </rPr>
      <t xml:space="preserve">为当前主来源；同一修订从同一数据模型导出 </t>
    </r>
    <r>
      <rPr>
        <sz val="9"/>
        <color rgb="FF24323D"/>
        <rFont val="Hiragino Sans GB"/>
        <family val="0"/>
        <charset val="1"/>
      </rPr>
      <t xml:space="preserve">Markdown </t>
    </r>
    <r>
      <rPr>
        <sz val="9"/>
        <color rgb="FF24323D"/>
        <rFont val="Linux Libertine G"/>
        <family val="2"/>
      </rPr>
      <t xml:space="preserve">与五份 </t>
    </r>
    <r>
      <rPr>
        <sz val="9"/>
        <color rgb="FF24323D"/>
        <rFont val="Hiragino Sans GB"/>
        <family val="0"/>
        <charset val="1"/>
      </rPr>
      <t xml:space="preserve">CSV</t>
    </r>
    <r>
      <rPr>
        <sz val="9"/>
        <color rgb="FF24323D"/>
        <rFont val="Linux Libertine G"/>
        <family val="2"/>
      </rPr>
      <t xml:space="preserve">，公式值经 </t>
    </r>
    <r>
      <rPr>
        <sz val="9"/>
        <color rgb="FF24323D"/>
        <rFont val="Hiragino Sans GB"/>
        <family val="0"/>
        <charset val="1"/>
      </rPr>
      <t xml:space="preserve">LibreOffice </t>
    </r>
    <r>
      <rPr>
        <sz val="9"/>
        <color rgb="FF24323D"/>
        <rFont val="Linux Libertine G"/>
        <family val="2"/>
      </rPr>
      <t xml:space="preserve">重算后再发布镜像。</t>
    </r>
  </si>
  <si>
    <t xml:space="preserve">UNVERIFIED</t>
  </si>
  <si>
    <t xml:space="preserve">独立复查绑定</t>
  </si>
  <si>
    <r>
      <rPr>
        <sz val="9"/>
        <color rgb="FF24323D"/>
        <rFont val="Linux Libertine G"/>
        <family val="2"/>
      </rPr>
      <t xml:space="preserve">记录 </t>
    </r>
    <r>
      <rPr>
        <sz val="9"/>
        <color rgb="FF24323D"/>
        <rFont val="Hiragino Sans GB"/>
        <family val="0"/>
        <charset val="1"/>
      </rPr>
      <t xml:space="preserve">reviewer task identity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reviewed commit/patch/hash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处置和 </t>
    </r>
    <r>
      <rPr>
        <sz val="9"/>
        <color rgb="FF24323D"/>
        <rFont val="Hiragino Sans GB"/>
        <family val="0"/>
        <charset val="1"/>
      </rPr>
      <t xml:space="preserve">re-review</t>
    </r>
    <r>
      <rPr>
        <sz val="9"/>
        <color rgb="FF24323D"/>
        <rFont val="Linux Libertine G"/>
        <family val="2"/>
      </rPr>
      <t xml:space="preserve">；实现者不得自审通过。</t>
    </r>
  </si>
  <si>
    <t xml:space="preserve">实时规划指标（来自任务总表／验收矩阵）</t>
  </si>
  <si>
    <t xml:space="preserve">指标</t>
  </si>
  <si>
    <t xml:space="preserve">值</t>
  </si>
  <si>
    <t xml:space="preserve">阶段</t>
  </si>
  <si>
    <t xml:space="preserve">任务数</t>
  </si>
  <si>
    <t xml:space="preserve">进度</t>
  </si>
  <si>
    <r>
      <rPr>
        <sz val="9"/>
        <color rgb="FF24323D"/>
        <rFont val="Hiragino Sans GB"/>
        <family val="0"/>
        <charset val="1"/>
      </rPr>
      <t xml:space="preserve">READY </t>
    </r>
    <r>
      <rPr>
        <sz val="9"/>
        <color rgb="FF24323D"/>
        <rFont val="Linux Libertine G"/>
        <family val="2"/>
      </rPr>
      <t xml:space="preserve">任务</t>
    </r>
  </si>
  <si>
    <t xml:space="preserve">V4</t>
  </si>
  <si>
    <t xml:space="preserve">阻断任务</t>
  </si>
  <si>
    <t xml:space="preserve">V5</t>
  </si>
  <si>
    <t xml:space="preserve">待独立复查任务</t>
  </si>
  <si>
    <t xml:space="preserve">V6</t>
  </si>
  <si>
    <t xml:space="preserve">未覆盖关键需求</t>
  </si>
  <si>
    <t xml:space="preserve">V7</t>
  </si>
  <si>
    <t xml:space="preserve">V8</t>
  </si>
  <si>
    <t xml:space="preserve">V9</t>
  </si>
  <si>
    <t xml:space="preserve">V10</t>
  </si>
  <si>
    <t xml:space="preserve">V11</t>
  </si>
  <si>
    <t xml:space="preserve">V12</t>
  </si>
  <si>
    <t xml:space="preserve">当前真实基线</t>
  </si>
  <si>
    <r>
      <rPr>
        <i val="true"/>
        <sz val="10"/>
        <color rgb="FF34495E"/>
        <rFont val="Linux Libertine G"/>
        <family val="2"/>
      </rPr>
      <t xml:space="preserve">事实标记：</t>
    </r>
    <r>
      <rPr>
        <i val="true"/>
        <sz val="10"/>
        <color rgb="FF34495E"/>
        <rFont val="Hiragino Sans GB"/>
        <family val="0"/>
        <charset val="1"/>
      </rPr>
      <t xml:space="preserve">CONFIRMED / INFERRED / UNVERIFIED / CONFLICTED</t>
    </r>
    <r>
      <rPr>
        <i val="true"/>
        <sz val="10"/>
        <color rgb="FF34495E"/>
        <rFont val="Linux Libertine G"/>
        <family val="2"/>
      </rPr>
      <t xml:space="preserve">。任何计划结论必须能追溯到证据。</t>
    </r>
  </si>
  <si>
    <t xml:space="preserve">项目</t>
  </si>
  <si>
    <t xml:space="preserve">当前值</t>
  </si>
  <si>
    <t xml:space="preserve">事实标记</t>
  </si>
  <si>
    <t xml:space="preserve">证据</t>
  </si>
  <si>
    <t xml:space="preserve">差异／说明</t>
  </si>
  <si>
    <t xml:space="preserve">仓库路径</t>
  </si>
  <si>
    <r>
      <rPr>
        <sz val="9"/>
        <color rgb="FF24323D"/>
        <rFont val="Hiragino Sans GB"/>
        <family val="0"/>
        <charset val="1"/>
      </rPr>
      <t xml:space="preserve">/Users/m1-meng/.codex/worktrees/e1c8/godot-</t>
    </r>
    <r>
      <rPr>
        <sz val="9"/>
        <color rgb="FF24323D"/>
        <rFont val="Linux Libertine G"/>
        <family val="2"/>
      </rPr>
      <t xml:space="preserve">天下无战事</t>
    </r>
    <r>
      <rPr>
        <sz val="9"/>
        <color rgb="FF24323D"/>
        <rFont val="Hiragino Sans GB"/>
        <family val="0"/>
        <charset val="1"/>
      </rPr>
      <t xml:space="preserve">2</t>
    </r>
  </si>
  <si>
    <t xml:space="preserve">CONFIRMED</t>
  </si>
  <si>
    <t xml:space="preserve">pwd / git rev-parse --show-toplevel</t>
  </si>
  <si>
    <t xml:space="preserve">与任务线索一致</t>
  </si>
  <si>
    <t xml:space="preserve">分支</t>
  </si>
  <si>
    <t xml:space="preserve">codex/v4-milestone-closure</t>
  </si>
  <si>
    <t xml:space="preserve">git branch --show-current</t>
  </si>
  <si>
    <t xml:space="preserve">V4 freeze parent HEAD</t>
  </si>
  <si>
    <t xml:space="preserve">64f37bda130397f08cdd012609dc2d3a5f5c6b99</t>
  </si>
  <si>
    <t xml:space="preserve">git rev-parse HEAD before closure commit</t>
  </si>
  <si>
    <r>
      <rPr>
        <sz val="9"/>
        <color rgb="FF24323D"/>
        <rFont val="Linux Libertine G"/>
        <family val="2"/>
      </rPr>
      <t xml:space="preserve">本工作簿随 </t>
    </r>
    <r>
      <rPr>
        <sz val="9"/>
        <color rgb="FF24323D"/>
        <rFont val="Hiragino Sans GB"/>
        <family val="0"/>
        <charset val="1"/>
      </rPr>
      <t xml:space="preserve">V4 checkpoint commit </t>
    </r>
    <r>
      <rPr>
        <sz val="9"/>
        <color rgb="FF24323D"/>
        <rFont val="Linux Libertine G"/>
        <family val="2"/>
      </rPr>
      <t xml:space="preserve">冻结</t>
    </r>
  </si>
  <si>
    <t xml:space="preserve">upstream</t>
  </si>
  <si>
    <t xml:space="preserve">none (local closure branch)</t>
  </si>
  <si>
    <t xml:space="preserve">git rev-parse @{upstream} (expected to fail)</t>
  </si>
  <si>
    <r>
      <rPr>
        <sz val="9"/>
        <color rgb="FF24323D"/>
        <rFont val="Linux Libertine G"/>
        <family val="2"/>
      </rPr>
      <t xml:space="preserve">未配置 </t>
    </r>
    <r>
      <rPr>
        <sz val="9"/>
        <color rgb="FF24323D"/>
        <rFont val="Hiragino Sans GB"/>
        <family val="0"/>
        <charset val="1"/>
      </rPr>
      <t xml:space="preserve">upstream</t>
    </r>
    <r>
      <rPr>
        <sz val="9"/>
        <color rgb="FF24323D"/>
        <rFont val="Linux Libertine G"/>
        <family val="2"/>
      </rPr>
      <t xml:space="preserve">；本轮不 </t>
    </r>
    <r>
      <rPr>
        <sz val="9"/>
        <color rgb="FF24323D"/>
        <rFont val="Hiragino Sans GB"/>
        <family val="0"/>
        <charset val="1"/>
      </rPr>
      <t xml:space="preserve">push</t>
    </r>
  </si>
  <si>
    <t xml:space="preserve">ahead / behind</t>
  </si>
  <si>
    <t xml:space="preserve">n/a for local closure branch</t>
  </si>
  <si>
    <t xml:space="preserve">git status -sb</t>
  </si>
  <si>
    <t xml:space="preserve">parent main snapshot was ahead 29 / behind 0</t>
  </si>
  <si>
    <t xml:space="preserve">工作树</t>
  </si>
  <si>
    <t xml:space="preserve">V5 P0/P1 candidate + 8 protected S1A.2 untracked</t>
  </si>
  <si>
    <t xml:space="preserve">git status --short after V4 checkpoint 5357c28</t>
  </si>
  <si>
    <r>
      <rPr>
        <sz val="9"/>
        <color rgb="FF24323D"/>
        <rFont val="Linux Libertine G"/>
        <family val="0"/>
        <charset val="1"/>
      </rPr>
      <t xml:space="preserve">V5 files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Linux Libertine G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可精确隔离；无未知 </t>
    </r>
    <r>
      <rPr>
        <sz val="9"/>
        <color rgb="FF24323D"/>
        <rFont val="Linux Libertine G"/>
        <family val="0"/>
        <charset val="1"/>
      </rPr>
      <t xml:space="preserve">dirty</t>
    </r>
  </si>
  <si>
    <t xml:space="preserve">V4/C0 tracked candidate</t>
  </si>
  <si>
    <t xml:space="preserve">Blackstone scene/script/smoke + C0 authority/ownership implementation and smoke</t>
  </si>
  <si>
    <r>
      <rPr>
        <sz val="9"/>
        <color rgb="FF24323D"/>
        <rFont val="Hiragino Sans GB"/>
        <family val="0"/>
        <charset val="1"/>
      </rPr>
      <t xml:space="preserve">git diff --stat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docs/reports/TXWZS_V4_MILESTONE_CLOSURE_001.md</t>
    </r>
  </si>
  <si>
    <r>
      <rPr>
        <sz val="9"/>
        <color rgb="FF24323D"/>
        <rFont val="Linux Libertine G"/>
        <family val="2"/>
      </rPr>
      <t xml:space="preserve">全部来源可由既有独立复审、</t>
    </r>
    <r>
      <rPr>
        <sz val="9"/>
        <color rgb="FF24323D"/>
        <rFont val="Hiragino Sans GB"/>
        <family val="0"/>
        <charset val="1"/>
      </rPr>
      <t xml:space="preserve">Repair </t>
    </r>
    <r>
      <rPr>
        <sz val="9"/>
        <color rgb="FF24323D"/>
        <rFont val="Linux Libertine G"/>
        <family val="2"/>
      </rPr>
      <t xml:space="preserve">报告和最终综合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解释</t>
    </r>
  </si>
  <si>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保护范围</t>
    </r>
  </si>
  <si>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untracked </t>
    </r>
    <r>
      <rPr>
        <sz val="9"/>
        <color rgb="FF24323D"/>
        <rFont val="Linux Libertine G"/>
        <family val="2"/>
      </rPr>
      <t xml:space="preserve">文件</t>
    </r>
  </si>
  <si>
    <t xml:space="preserve">git status + SHA-256</t>
  </si>
  <si>
    <t xml:space="preserve">本轮只读，不纳入测试或提交</t>
  </si>
  <si>
    <t xml:space="preserve">主场景</t>
  </si>
  <si>
    <t xml:space="preserve">res://scenes/blank_map.tscn</t>
  </si>
  <si>
    <t xml:space="preserve">project.godot</t>
  </si>
  <si>
    <t xml:space="preserve">当前活动战区</t>
  </si>
  <si>
    <t xml:space="preserve">res://scenes/blackstone_expedition_mvp.tscn</t>
  </si>
  <si>
    <t xml:space="preserve">scene + city entry code</t>
  </si>
  <si>
    <r>
      <rPr>
        <sz val="9"/>
        <color rgb="FF24323D"/>
        <rFont val="Linux Libertine G"/>
        <family val="2"/>
      </rPr>
      <t xml:space="preserve">从军令台进入；当前以 </t>
    </r>
    <r>
      <rPr>
        <sz val="9"/>
        <color rgb="FF24323D"/>
        <rFont val="Hiragino Sans GB"/>
        <family val="0"/>
        <charset val="1"/>
      </rPr>
      <t xml:space="preserve">dirty V4 </t>
    </r>
    <r>
      <rPr>
        <sz val="9"/>
        <color rgb="FF24323D"/>
        <rFont val="Linux Libertine G"/>
        <family val="2"/>
      </rPr>
      <t xml:space="preserve">运行</t>
    </r>
  </si>
  <si>
    <t xml:space="preserve">当前运行身份</t>
  </si>
  <si>
    <r>
      <rPr>
        <sz val="9"/>
        <color rgb="FF24323D"/>
        <rFont val="Linux Libertine G"/>
        <family val="2"/>
      </rPr>
      <t xml:space="preserve">天下无战事 </t>
    </r>
    <r>
      <rPr>
        <sz val="9"/>
        <color rgb="FF24323D"/>
        <rFont val="Hiragino Sans GB"/>
        <family val="0"/>
        <charset val="1"/>
      </rPr>
      <t xml:space="preserve">· CITY · codex/v4-milestone-closure@64f37bd · DEBUG · DIRTY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PID 50532</t>
    </r>
  </si>
  <si>
    <r>
      <rPr>
        <sz val="9"/>
        <color rgb="FF24323D"/>
        <rFont val="Hiragino Sans GB"/>
        <family val="0"/>
        <charset val="1"/>
      </rPr>
      <t xml:space="preserve">/tmp/txwzs-runtime-5b2c3f8e1cc4d4aa/current.log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TXWZS_V4_MILESTONE_CLOSURE_001.md</t>
    </r>
  </si>
  <si>
    <r>
      <rPr>
        <sz val="9"/>
        <color rgb="FF24323D"/>
        <rFont val="Linux Libertine G"/>
        <family val="2"/>
      </rPr>
      <t xml:space="preserve">正式入口 </t>
    </r>
    <r>
      <rPr>
        <sz val="9"/>
        <color rgb="FF24323D"/>
        <rFont val="Hiragino Sans GB"/>
        <family val="0"/>
        <charset val="1"/>
      </rPr>
      <t xml:space="preserve">./RUN_CURRENT_TXWZS.command</t>
    </r>
    <r>
      <rPr>
        <sz val="9"/>
        <color rgb="FF24323D"/>
        <rFont val="Linux Libertine G"/>
        <family val="2"/>
      </rPr>
      <t xml:space="preserve">；最终八态由当前正式场景重新生成</t>
    </r>
  </si>
  <si>
    <t xml:space="preserve">Godot</t>
  </si>
  <si>
    <t xml:space="preserve">4.5.1.stable.official.f62fdbde1</t>
  </si>
  <si>
    <t xml:space="preserve">Godot --version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</si>
  <si>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状态机</t>
    </r>
  </si>
  <si>
    <t xml:space="preserve">IDLE → SOURCE_ARMED → ROUTE_SELECTING → ORDER_PENDING → MARCHING → ARRIVAL_RESOLVING → IDLE</t>
  </si>
  <si>
    <t xml:space="preserve">scripts/mvp/blackstone_expedition_mvp.gd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</si>
  <si>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兵种 </t>
    </r>
    <r>
      <rPr>
        <sz val="9"/>
        <color rgb="FF24323D"/>
        <rFont val="Hiragino Sans GB"/>
        <family val="0"/>
        <charset val="1"/>
      </rPr>
      <t xml:space="preserve">UI</t>
    </r>
  </si>
  <si>
    <t xml:space="preserve">仅步兵／驻军</t>
  </si>
  <si>
    <t xml:space="preserve">scene + get_dispatch_options()</t>
  </si>
  <si>
    <t xml:space="preserve">没有空兵种选项</t>
  </si>
  <si>
    <r>
      <rPr>
        <sz val="9"/>
        <color rgb="FF24323D"/>
        <rFont val="Hiragino Sans GB"/>
        <family val="0"/>
        <charset val="1"/>
      </rPr>
      <t xml:space="preserve">V3 </t>
    </r>
    <r>
      <rPr>
        <sz val="9"/>
        <color rgb="FF24323D"/>
        <rFont val="Linux Libertine G"/>
        <family val="2"/>
      </rPr>
      <t xml:space="preserve">圆盘</t>
    </r>
  </si>
  <si>
    <r>
      <rPr>
        <sz val="9"/>
        <color rgb="FF24323D"/>
        <rFont val="Linux Libertine G"/>
        <family val="2"/>
      </rPr>
      <t xml:space="preserve">运行节点已移除，仅 </t>
    </r>
    <r>
      <rPr>
        <sz val="9"/>
        <color rgb="FF24323D"/>
        <rFont val="Hiragino Sans GB"/>
        <family val="0"/>
        <charset val="1"/>
      </rPr>
      <t xml:space="preserve">smoke </t>
    </r>
    <r>
      <rPr>
        <sz val="9"/>
        <color rgb="FF24323D"/>
        <rFont val="Linux Libertine G"/>
        <family val="2"/>
      </rPr>
      <t xml:space="preserve">保留反向断言</t>
    </r>
  </si>
  <si>
    <t xml:space="preserve">rg radial / scene diff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</si>
  <si>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行军模型</t>
    </r>
  </si>
  <si>
    <r>
      <rPr>
        <sz val="9"/>
        <color rgb="FF24323D"/>
        <rFont val="Hiragino Sans GB"/>
        <family val="0"/>
        <charset val="1"/>
      </rPr>
      <t xml:space="preserve">_marching_armies </t>
    </r>
    <r>
      <rPr>
        <sz val="9"/>
        <color rgb="FF24323D"/>
        <rFont val="Linux Libertine G"/>
        <family val="2"/>
      </rPr>
      <t xml:space="preserve">为数组，但运行逻辑只处理 </t>
    </r>
    <r>
      <rPr>
        <sz val="9"/>
        <color rgb="FF24323D"/>
        <rFont val="Hiragino Sans GB"/>
        <family val="0"/>
        <charset val="1"/>
      </rPr>
      <t xml:space="preserve">index 0 </t>
    </r>
    <r>
      <rPr>
        <sz val="9"/>
        <color rgb="FF24323D"/>
        <rFont val="Linux Libertine G"/>
        <family val="2"/>
      </rPr>
      <t xml:space="preserve">并禁止并发命令</t>
    </r>
  </si>
  <si>
    <t xml:space="preserve">blackstone_expedition_mvp.gd:100,202,474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</si>
  <si>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必须解除持久模型的单例假设</t>
    </r>
  </si>
  <si>
    <t xml:space="preserve">城市权威</t>
  </si>
  <si>
    <t xml:space="preserve">ConstructionController</t>
  </si>
  <si>
    <t xml:space="preserve">CURRENT_STATE + code</t>
  </si>
  <si>
    <r>
      <rPr>
        <sz val="9"/>
        <color rgb="FF24323D"/>
        <rFont val="Linux Libertine G"/>
        <family val="2"/>
      </rPr>
      <t xml:space="preserve">当前没有独立 </t>
    </r>
    <r>
      <rPr>
        <sz val="9"/>
        <color rgb="FF24323D"/>
        <rFont val="Hiragino Sans GB"/>
        <family val="0"/>
        <charset val="1"/>
      </rPr>
      <t xml:space="preserve">CityState </t>
    </r>
    <r>
      <rPr>
        <sz val="9"/>
        <color rgb="FF24323D"/>
        <rFont val="Linux Libertine G"/>
        <family val="2"/>
      </rPr>
      <t xml:space="preserve">类</t>
    </r>
  </si>
  <si>
    <t xml:space="preserve">单局战斗权威</t>
  </si>
  <si>
    <t xml:space="preserve">BattleSession</t>
  </si>
  <si>
    <t xml:space="preserve">scripts/combat/battle_session.gd</t>
  </si>
  <si>
    <r>
      <rPr>
        <sz val="9"/>
        <color rgb="FF24323D"/>
        <rFont val="Linux Libertine G"/>
        <family val="2"/>
      </rPr>
      <t xml:space="preserve">固定 </t>
    </r>
    <r>
      <rPr>
        <sz val="9"/>
        <color rgb="FF24323D"/>
        <rFont val="Hiragino Sans GB"/>
        <family val="0"/>
        <charset val="1"/>
      </rPr>
      <t xml:space="preserve">tick</t>
    </r>
    <r>
      <rPr>
        <sz val="9"/>
        <color rgb="FF24323D"/>
        <rFont val="Linux Libertine G"/>
        <family val="2"/>
      </rPr>
      <t xml:space="preserve">，</t>
    </r>
    <r>
      <rPr>
        <sz val="9"/>
        <color rgb="FF24323D"/>
        <rFont val="Hiragino Sans GB"/>
        <family val="0"/>
        <charset val="1"/>
      </rPr>
      <t xml:space="preserve">RefCounted </t>
    </r>
    <r>
      <rPr>
        <sz val="9"/>
        <color rgb="FF24323D"/>
        <rFont val="Linux Libertine G"/>
        <family val="2"/>
      </rPr>
      <t xml:space="preserve">临时状态</t>
    </r>
  </si>
  <si>
    <t xml:space="preserve">战略地图</t>
  </si>
  <si>
    <r>
      <rPr>
        <sz val="9"/>
        <color rgb="FF24323D"/>
        <rFont val="Hiragino Sans GB"/>
        <family val="0"/>
        <charset val="1"/>
      </rPr>
      <t xml:space="preserve">WorldMapPresentationModel </t>
    </r>
    <r>
      <rPr>
        <sz val="9"/>
        <color rgb="FF24323D"/>
        <rFont val="Linux Libertine G"/>
        <family val="2"/>
      </rPr>
      <t xml:space="preserve">只读 </t>
    </r>
    <r>
      <rPr>
        <sz val="9"/>
        <color rgb="FF24323D"/>
        <rFont val="Hiragino Sans GB"/>
        <family val="0"/>
        <charset val="1"/>
      </rPr>
      <t xml:space="preserve">fixture</t>
    </r>
  </si>
  <si>
    <t xml:space="preserve">world_map_presentation_model.gd + smoke</t>
  </si>
  <si>
    <r>
      <rPr>
        <sz val="9"/>
        <color rgb="FF24323D"/>
        <rFont val="Linux Libertine G"/>
        <family val="2"/>
      </rPr>
      <t xml:space="preserve">不是持久 </t>
    </r>
    <r>
      <rPr>
        <sz val="9"/>
        <color rgb="FF24323D"/>
        <rFont val="Hiragino Sans GB"/>
        <family val="0"/>
        <charset val="1"/>
      </rPr>
      <t xml:space="preserve">WorldState</t>
    </r>
  </si>
  <si>
    <t xml:space="preserve">内存快照</t>
  </si>
  <si>
    <r>
      <rPr>
        <sz val="9"/>
        <color rgb="FF24323D"/>
        <rFont val="Hiragino Sans GB"/>
        <family val="0"/>
        <charset val="1"/>
      </rPr>
      <t xml:space="preserve">EarlyCitySnapshotV1 schema 1 </t>
    </r>
    <r>
      <rPr>
        <sz val="9"/>
        <color rgb="FF24323D"/>
        <rFont val="Linux Libertine G"/>
        <family val="2"/>
      </rPr>
      <t xml:space="preserve">已验收</t>
    </r>
  </si>
  <si>
    <t xml:space="preserve">tracked code + S1A.1 report</t>
  </si>
  <si>
    <t xml:space="preserve">同进程、早期城市范围</t>
  </si>
  <si>
    <t xml:space="preserve">磁盘存档</t>
  </si>
  <si>
    <r>
      <rPr>
        <sz val="9"/>
        <color rgb="FF24323D"/>
        <rFont val="Hiragino Sans GB"/>
        <family val="0"/>
        <charset val="1"/>
      </rPr>
      <t xml:space="preserve">S1A.2 untracked </t>
    </r>
    <r>
      <rPr>
        <sz val="9"/>
        <color rgb="FF24323D"/>
        <rFont val="Linux Libertine G"/>
        <family val="2"/>
      </rPr>
      <t xml:space="preserve">实现存在，但验收状态冲突／未冻结</t>
    </r>
  </si>
  <si>
    <t xml:space="preserve">CONFLICTED</t>
  </si>
  <si>
    <t xml:space="preserve">8 protected files + latest user status</t>
  </si>
  <si>
    <r>
      <rPr>
        <sz val="9"/>
        <color rgb="FF24323D"/>
        <rFont val="Linux Libertine G"/>
        <family val="2"/>
      </rPr>
      <t xml:space="preserve">不得当作可复用基线；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先通过独立存档门</t>
    </r>
  </si>
  <si>
    <t xml:space="preserve">跟踪测试</t>
  </si>
  <si>
    <r>
      <rPr>
        <sz val="9"/>
        <color rgb="FF24323D"/>
        <rFont val="Hiragino Sans GB"/>
        <family val="0"/>
        <charset val="1"/>
      </rPr>
      <t xml:space="preserve">27/27 runner PASS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1515 PASS lines</t>
    </r>
  </si>
  <si>
    <r>
      <rPr>
        <sz val="9"/>
        <color rgb="FF24323D"/>
        <rFont val="Hiragino Sans GB"/>
        <family val="0"/>
        <charset val="1"/>
      </rPr>
      <t xml:space="preserve">/tmp/txwzs-v4-milestone-closure.fD2A6P/tracked.tsv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tracked-*.log</t>
    </r>
  </si>
  <si>
    <r>
      <rPr>
        <sz val="9"/>
        <color rgb="FF24323D"/>
        <rFont val="Linux Libertine G"/>
        <family val="2"/>
      </rPr>
      <t xml:space="preserve">另行 </t>
    </r>
    <r>
      <rPr>
        <sz val="9"/>
        <color rgb="FF24323D"/>
        <rFont val="Hiragino Sans GB"/>
        <family val="0"/>
        <charset val="1"/>
      </rPr>
      <t xml:space="preserve">all-present 29/29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1686 PASS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仅只读回归观察</t>
    </r>
  </si>
  <si>
    <t xml:space="preserve">编辑器扫描</t>
  </si>
  <si>
    <r>
      <rPr>
        <sz val="9"/>
        <color rgb="FF24323D"/>
        <rFont val="Hiragino Sans GB"/>
        <family val="0"/>
        <charset val="1"/>
      </rPr>
      <t xml:space="preserve">PASS / exit 0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final error signatures = 0</t>
    </r>
  </si>
  <si>
    <t xml:space="preserve">/tmp/txwzs-v4-milestone-closure.fD2A6P/editor-scan-final.log</t>
  </si>
  <si>
    <r>
      <rPr>
        <sz val="9"/>
        <color rgb="FF24323D"/>
        <rFont val="Hiragino Sans GB"/>
        <family val="0"/>
        <charset val="1"/>
      </rPr>
      <t xml:space="preserve">planning .gdignore </t>
    </r>
    <r>
      <rPr>
        <sz val="9"/>
        <color rgb="FF24323D"/>
        <rFont val="Linux Libertine G"/>
        <family val="2"/>
      </rPr>
      <t xml:space="preserve">隔离文档 </t>
    </r>
    <r>
      <rPr>
        <sz val="9"/>
        <color rgb="FF24323D"/>
        <rFont val="Hiragino Sans GB"/>
        <family val="0"/>
        <charset val="1"/>
      </rPr>
      <t xml:space="preserve">CSV</t>
    </r>
    <r>
      <rPr>
        <sz val="9"/>
        <color rgb="FF24323D"/>
        <rFont val="Linux Libertine G"/>
        <family val="2"/>
      </rPr>
      <t xml:space="preserve">；无 </t>
    </r>
    <r>
      <rPr>
        <sz val="9"/>
        <color rgb="FF24323D"/>
        <rFont val="Hiragino Sans GB"/>
        <family val="0"/>
        <charset val="1"/>
      </rPr>
      <t xml:space="preserve">runtime </t>
    </r>
    <r>
      <rPr>
        <sz val="9"/>
        <color rgb="FF24323D"/>
        <rFont val="Linux Libertine G"/>
        <family val="2"/>
      </rPr>
      <t xml:space="preserve">警告</t>
    </r>
  </si>
  <si>
    <r>
      <rPr>
        <sz val="9"/>
        <color rgb="FF24323D"/>
        <rFont val="Linux Libertine G"/>
        <family val="2"/>
      </rPr>
      <t xml:space="preserve">备份 </t>
    </r>
    <r>
      <rPr>
        <sz val="9"/>
        <color rgb="FF24323D"/>
        <rFont val="Hiragino Sans GB"/>
        <family val="0"/>
        <charset val="1"/>
      </rPr>
      <t xml:space="preserve">patch</t>
    </r>
  </si>
  <si>
    <t xml:space="preserve">/tmp/txwzs-v4-milestone-closure.fD2A6P</t>
  </si>
  <si>
    <r>
      <rPr>
        <sz val="9"/>
        <color rgb="FF24323D"/>
        <rFont val="Linux Libertine G"/>
        <family val="2"/>
      </rPr>
      <t xml:space="preserve">八态截图、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editor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error scan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</si>
  <si>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最终综合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证据；持久回滚点为本工作簿所在 </t>
    </r>
    <r>
      <rPr>
        <sz val="9"/>
        <color rgb="FF24323D"/>
        <rFont val="Hiragino Sans GB"/>
        <family val="0"/>
        <charset val="1"/>
      </rPr>
      <t xml:space="preserve">V4 checkpoint commit </t>
    </r>
    <r>
      <rPr>
        <sz val="9"/>
        <color rgb="FF24323D"/>
        <rFont val="Linux Libertine G"/>
        <family val="2"/>
      </rPr>
      <t xml:space="preserve">及其父提交</t>
    </r>
  </si>
  <si>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保护哈希</t>
    </r>
  </si>
  <si>
    <r>
      <rPr>
        <sz val="9"/>
        <color rgb="FF24323D"/>
        <rFont val="Hiragino Sans GB"/>
        <family val="0"/>
        <charset val="1"/>
      </rPr>
      <t xml:space="preserve">Review 002 </t>
    </r>
    <r>
      <rPr>
        <sz val="9"/>
        <color rgb="FF24323D"/>
        <rFont val="Linux Libertine G"/>
        <family val="2"/>
      </rPr>
      <t xml:space="preserve">候选哈希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本轮 </t>
    </r>
    <r>
      <rPr>
        <sz val="9"/>
        <color rgb="FF24323D"/>
        <rFont val="Hiragino Sans GB"/>
        <family val="0"/>
        <charset val="1"/>
      </rPr>
      <t xml:space="preserve">git status </t>
    </r>
    <r>
      <rPr>
        <sz val="9"/>
        <color rgb="FF24323D"/>
        <rFont val="Linux Libertine G"/>
        <family val="2"/>
      </rPr>
      <t xml:space="preserve">保护清单</t>
    </r>
  </si>
  <si>
    <r>
      <rPr>
        <sz val="9"/>
        <color rgb="FF24323D"/>
        <rFont val="Hiragino Sans GB"/>
        <family val="0"/>
        <charset val="1"/>
      </rPr>
      <t xml:space="preserve">TXWZS_V4_UI_VISUAL_SLICE_INDEPENDENT_REVIEW_002.md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TXWZS_V4_MILESTONE_CLOSURE_001.md</t>
    </r>
  </si>
  <si>
    <r>
      <rPr>
        <sz val="9"/>
        <color rgb="FF24323D"/>
        <rFont val="Linux Libertine G"/>
        <family val="2"/>
      </rPr>
      <t xml:space="preserve">三候选文件哈希一致；八个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文件未修改、未暂存、未提交</t>
    </r>
  </si>
  <si>
    <t xml:space="preserve">README / DECISIONS / CHANGELOG</t>
  </si>
  <si>
    <t xml:space="preserve">仓库不存在</t>
  </si>
  <si>
    <t xml:space="preserve">rg --files</t>
  </si>
  <si>
    <r>
      <rPr>
        <sz val="9"/>
        <color rgb="FF24323D"/>
        <rFont val="Linux Libertine G"/>
        <family val="2"/>
      </rPr>
      <t xml:space="preserve">事实散布在 </t>
    </r>
    <r>
      <rPr>
        <sz val="9"/>
        <color rgb="FF24323D"/>
        <rFont val="Hiragino Sans GB"/>
        <family val="0"/>
        <charset val="1"/>
      </rPr>
      <t xml:space="preserve">CURRENT_STATE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design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handoffs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reports</t>
    </r>
  </si>
  <si>
    <r>
      <rPr>
        <b val="true"/>
        <sz val="16"/>
        <color rgb="FFFFFFFF"/>
        <rFont val="Hiragino Sans GB"/>
        <family val="0"/>
        <charset val="1"/>
      </rPr>
      <t xml:space="preserve">V4–V12 </t>
    </r>
    <r>
      <rPr>
        <b val="true"/>
        <sz val="16"/>
        <color rgb="FFFFFFFF"/>
        <rFont val="Linux Libertine G"/>
        <family val="2"/>
      </rPr>
      <t xml:space="preserve">长期路线图</t>
    </r>
  </si>
  <si>
    <r>
      <rPr>
        <i val="true"/>
        <sz val="10"/>
        <color rgb="FF34495E"/>
        <rFont val="Hiragino Sans GB"/>
        <family val="0"/>
        <charset val="1"/>
      </rPr>
      <t xml:space="preserve">V5 </t>
    </r>
    <r>
      <rPr>
        <i val="true"/>
        <sz val="10"/>
        <color rgb="FF34495E"/>
        <rFont val="Linux Libertine G"/>
        <family val="2"/>
      </rPr>
      <t xml:space="preserve">详细、</t>
    </r>
    <r>
      <rPr>
        <i val="true"/>
        <sz val="10"/>
        <color rgb="FF34495E"/>
        <rFont val="Hiragino Sans GB"/>
        <family val="0"/>
        <charset val="1"/>
      </rPr>
      <t xml:space="preserve">V6 </t>
    </r>
    <r>
      <rPr>
        <i val="true"/>
        <sz val="10"/>
        <color rgb="FF34495E"/>
        <rFont val="Linux Libertine G"/>
        <family val="2"/>
      </rPr>
      <t xml:space="preserve">中度、</t>
    </r>
    <r>
      <rPr>
        <i val="true"/>
        <sz val="10"/>
        <color rgb="FF34495E"/>
        <rFont val="Hiragino Sans GB"/>
        <family val="0"/>
        <charset val="1"/>
      </rPr>
      <t xml:space="preserve">V7–V12 </t>
    </r>
    <r>
      <rPr>
        <i val="true"/>
        <sz val="10"/>
        <color rgb="FF34495E"/>
        <rFont val="Linux Libertine G"/>
        <family val="2"/>
      </rPr>
      <t xml:space="preserve">工作包级；远期阶段开始前必须刷新事实并重新拆解。</t>
    </r>
  </si>
  <si>
    <r>
      <rPr>
        <b val="true"/>
        <sz val="10"/>
        <color rgb="FFFFFFFF"/>
        <rFont val="Linux Libertine G"/>
        <family val="2"/>
      </rPr>
      <t xml:space="preserve">阶段 </t>
    </r>
    <r>
      <rPr>
        <b val="true"/>
        <sz val="10"/>
        <color rgb="FFFFFFFF"/>
        <rFont val="Hiragino Sans GB"/>
        <family val="0"/>
        <charset val="1"/>
      </rPr>
      <t xml:space="preserve">ID</t>
    </r>
  </si>
  <si>
    <t xml:space="preserve">阶段名称</t>
  </si>
  <si>
    <t xml:space="preserve">玩家可感知结果</t>
  </si>
  <si>
    <t xml:space="preserve">世界层级</t>
  </si>
  <si>
    <t xml:space="preserve">入口条件</t>
  </si>
  <si>
    <t xml:space="preserve">输出物</t>
  </si>
  <si>
    <t xml:space="preserve">明确不做</t>
  </si>
  <si>
    <t xml:space="preserve">核心数据对象</t>
  </si>
  <si>
    <t xml:space="preserve">依赖阶段</t>
  </si>
  <si>
    <t xml:space="preserve">自动验收门槛</t>
  </si>
  <si>
    <t xml:space="preserve">实际窗口门槛</t>
  </si>
  <si>
    <t xml:space="preserve">独立复查门槛</t>
  </si>
  <si>
    <t xml:space="preserve">主要风险</t>
  </si>
  <si>
    <t xml:space="preserve">回滚点</t>
  </si>
  <si>
    <t xml:space="preserve">当前状态</t>
  </si>
  <si>
    <t xml:space="preserve">阶段进度</t>
  </si>
  <si>
    <t xml:space="preserve">派遣主链路冻结</t>
  </si>
  <si>
    <t xml:space="preserve">玩家从己方驻军节点选路线、选比例、完成可见行军并得到一次性到达结算。</t>
  </si>
  <si>
    <r>
      <rPr>
        <sz val="9"/>
        <color rgb="FF24323D"/>
        <rFont val="Linux Libertine G"/>
        <family val="2"/>
      </rPr>
      <t xml:space="preserve">外城战区（隔离 </t>
    </r>
    <r>
      <rPr>
        <sz val="9"/>
        <color rgb="FF24323D"/>
        <rFont val="Hiragino Sans GB"/>
        <family val="0"/>
        <charset val="1"/>
      </rPr>
      <t xml:space="preserve">MVP</t>
    </r>
    <r>
      <rPr>
        <sz val="9"/>
        <color rgb="FF24323D"/>
        <rFont val="Linux Libertine G"/>
        <family val="2"/>
      </rPr>
      <t xml:space="preserve">）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</si>
  <si>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V4 </t>
    </r>
    <r>
      <rPr>
        <sz val="9"/>
        <color rgb="FF24323D"/>
        <rFont val="Linux Libertine G"/>
        <family val="2"/>
      </rPr>
      <t xml:space="preserve">三文件与受保护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范围已锁定。</t>
    </r>
  </si>
  <si>
    <r>
      <rPr>
        <sz val="9"/>
        <color rgb="FF24323D"/>
        <rFont val="Linux Libertine G"/>
        <family val="2"/>
      </rPr>
      <t xml:space="preserve">冻结状态机、驻军守恒、路线先行调遣、行军不冻结、失败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胜利回城与回归证据。</t>
    </r>
  </si>
  <si>
    <t xml:space="preserve">不扩多兵种、多军队并发、遭遇战、攻城与存档。</t>
  </si>
  <si>
    <t xml:space="preserve">UI Interaction State, Pending Order, prototype garrisons, prototype marching-army dictionaries</t>
  </si>
  <si>
    <r>
      <rPr>
        <sz val="9"/>
        <color rgb="FF24323D"/>
        <rFont val="Hiragino Sans GB"/>
        <family val="0"/>
        <charset val="1"/>
      </rPr>
      <t xml:space="preserve">P0/P1/C0 </t>
    </r>
    <r>
      <rPr>
        <sz val="9"/>
        <color rgb="FF24323D"/>
        <rFont val="Linux Libertine G"/>
        <family val="2"/>
      </rPr>
      <t xml:space="preserve">已有技术基线</t>
    </r>
  </si>
  <si>
    <t xml:space="preserve">V4 smoke + tracked full regression + scene/headless + diff check</t>
  </si>
  <si>
    <t xml:space="preserve">实体鼠标完成取消、失败路线、援军胜利路线、回城重试；持续行军无卡死。</t>
  </si>
  <si>
    <r>
      <rPr>
        <sz val="9"/>
        <color rgb="FF24323D"/>
        <rFont val="Linux Libertine G"/>
        <family val="2"/>
      </rPr>
      <t xml:space="preserve">独立复查 </t>
    </r>
    <r>
      <rPr>
        <sz val="9"/>
        <color rgb="FF24323D"/>
        <rFont val="Hiragino Sans GB"/>
        <family val="0"/>
        <charset val="1"/>
      </rPr>
      <t xml:space="preserve">dirty diff</t>
    </r>
    <r>
      <rPr>
        <sz val="9"/>
        <color rgb="FF24323D"/>
        <rFont val="Linux Libertine G"/>
        <family val="2"/>
      </rPr>
      <t xml:space="preserve">、一次性语义、输入所有权和 </t>
    </r>
    <r>
      <rPr>
        <sz val="9"/>
        <color rgb="FF24323D"/>
        <rFont val="Hiragino Sans GB"/>
        <family val="0"/>
        <charset val="1"/>
      </rPr>
      <t xml:space="preserve">singleton </t>
    </r>
    <r>
      <rPr>
        <sz val="9"/>
        <color rgb="FF24323D"/>
        <rFont val="Linux Libertine G"/>
        <family val="2"/>
      </rPr>
      <t xml:space="preserve">风险。</t>
    </r>
  </si>
  <si>
    <r>
      <rPr>
        <sz val="9"/>
        <color rgb="FF24323D"/>
        <rFont val="Linux Libertine G"/>
        <family val="2"/>
      </rPr>
      <t xml:space="preserve">大 </t>
    </r>
    <r>
      <rPr>
        <sz val="9"/>
        <color rgb="FF24323D"/>
        <rFont val="Hiragino Sans GB"/>
        <family val="0"/>
        <charset val="1"/>
      </rPr>
      <t xml:space="preserve">dirty diff</t>
    </r>
    <r>
      <rPr>
        <sz val="9"/>
        <color rgb="FF24323D"/>
        <rFont val="Linux Libertine G"/>
        <family val="2"/>
      </rPr>
      <t xml:space="preserve">；原型脚本同时持有表现、输入与临时战区状态。</t>
    </r>
  </si>
  <si>
    <r>
      <rPr>
        <sz val="9"/>
        <color rgb="FF24323D"/>
        <rFont val="Linux Libertine G"/>
        <family val="2"/>
      </rPr>
      <t xml:space="preserve">冻结前使用精确 </t>
    </r>
    <r>
      <rPr>
        <sz val="9"/>
        <color rgb="FF24323D"/>
        <rFont val="Hiragino Sans GB"/>
        <family val="0"/>
        <charset val="1"/>
      </rPr>
      <t xml:space="preserve">dirty </t>
    </r>
    <r>
      <rPr>
        <sz val="9"/>
        <color rgb="FF24323D"/>
        <rFont val="Linux Libertine G"/>
        <family val="2"/>
      </rPr>
      <t xml:space="preserve">文件清单、</t>
    </r>
    <r>
      <rPr>
        <sz val="9"/>
        <color rgb="FF24323D"/>
        <rFont val="Hiragino Sans GB"/>
        <family val="0"/>
        <charset val="1"/>
      </rPr>
      <t xml:space="preserve">patch/</t>
    </r>
    <r>
      <rPr>
        <sz val="9"/>
        <color rgb="FF24323D"/>
        <rFont val="Linux Libertine G"/>
        <family val="2"/>
      </rPr>
      <t xml:space="preserve">归档哈希与正反向 </t>
    </r>
    <r>
      <rPr>
        <sz val="9"/>
        <color rgb="FF24323D"/>
        <rFont val="Hiragino Sans GB"/>
        <family val="0"/>
        <charset val="1"/>
      </rPr>
      <t xml:space="preserve">apply </t>
    </r>
    <r>
      <rPr>
        <sz val="9"/>
        <color rgb="FF24323D"/>
        <rFont val="Linux Libertine G"/>
        <family val="2"/>
      </rPr>
      <t xml:space="preserve">检查；冻结后使用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原子提交及其父提交。</t>
    </r>
  </si>
  <si>
    <t xml:space="preserve">单兵种战争底座＋城内训练补兵</t>
  </si>
  <si>
    <r>
      <rPr>
        <sz val="9"/>
        <color rgb="FF24323D"/>
        <rFont val="Linux Libertine G"/>
        <family val="2"/>
      </rPr>
      <t xml:space="preserve">城市能真实训练步兵；驻军可派出；伤亡、幸存、驻扎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返回写回；保存重载后保持一致。</t>
    </r>
  </si>
  <si>
    <r>
      <rPr>
        <sz val="9"/>
        <color rgb="FF24323D"/>
        <rFont val="Linux Libertine G"/>
        <family val="2"/>
      </rPr>
      <t xml:space="preserve">常态内城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外城派遣适配</t>
    </r>
  </si>
  <si>
    <r>
      <rPr>
        <sz val="9"/>
        <color rgb="FF24323D"/>
        <rFont val="Hiragino Sans GB"/>
        <family val="0"/>
        <charset val="1"/>
      </rPr>
      <t xml:space="preserve">V4 VERIFIED</t>
    </r>
    <r>
      <rPr>
        <sz val="9"/>
        <color rgb="FF24323D"/>
        <rFont val="Linux Libertine G"/>
        <family val="2"/>
      </rPr>
      <t xml:space="preserve">；城市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驻军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军队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训练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存档所有权合同通过 </t>
    </r>
    <r>
      <rPr>
        <sz val="9"/>
        <color rgb="FF24323D"/>
        <rFont val="Hiragino Sans GB"/>
        <family val="0"/>
        <charset val="1"/>
      </rPr>
      <t xml:space="preserve">G1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</si>
  <si>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单兵种静态定义、持久驻军、训练队列、可持久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集合容器（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）、结果写回、版本化迁移、最小军备 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</si>
  <si>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不做第二兵种、多军队同屏指挥、敌方 </t>
    </r>
    <r>
      <rPr>
        <sz val="9"/>
        <color rgb="FF24323D"/>
        <rFont val="Hiragino Sans GB"/>
        <family val="0"/>
        <charset val="1"/>
      </rPr>
      <t xml:space="preserve">AI</t>
    </r>
    <r>
      <rPr>
        <sz val="9"/>
        <color rgb="FF24323D"/>
        <rFont val="Linux Libertine G"/>
        <family val="2"/>
      </rPr>
      <t xml:space="preserve">、攻城、正式美术。</t>
    </r>
  </si>
  <si>
    <t xml:space="preserve">Unit definition contract, GarrisonState, TrainingQueue, ArmyState collection, City authority adapter, Save schema/migration</t>
  </si>
  <si>
    <t xml:space="preserve">合同测试、训练日结算、驻军守恒、派遣幂等、结果写回、存档迁移、全量回归。</t>
  </si>
  <si>
    <t xml:space="preserve">训练一名步兵→派遣→结果→幸存写回→保存退出→重载一致。</t>
  </si>
  <si>
    <r>
      <rPr>
        <sz val="9"/>
        <color rgb="FF24323D"/>
        <rFont val="Hiragino Sans GB"/>
        <family val="0"/>
        <charset val="1"/>
      </rPr>
      <t xml:space="preserve">G1 </t>
    </r>
    <r>
      <rPr>
        <sz val="9"/>
        <color rgb="FF24323D"/>
        <rFont val="Linux Libertine G"/>
        <family val="2"/>
      </rPr>
      <t xml:space="preserve">数据合同、</t>
    </r>
    <r>
      <rPr>
        <sz val="9"/>
        <color rgb="FF24323D"/>
        <rFont val="Hiragino Sans GB"/>
        <family val="0"/>
        <charset val="1"/>
      </rPr>
      <t xml:space="preserve">G2 </t>
    </r>
    <r>
      <rPr>
        <sz val="9"/>
        <color rgb="FF24323D"/>
        <rFont val="Linux Libertine G"/>
        <family val="2"/>
      </rPr>
      <t xml:space="preserve">垂直闭环、</t>
    </r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阶段独立复查。</t>
    </r>
  </si>
  <si>
    <r>
      <rPr>
        <sz val="9"/>
        <color rgb="FF24323D"/>
        <rFont val="Linux Libertine G"/>
        <family val="2"/>
      </rPr>
      <t xml:space="preserve">复制第二套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；把单兵种误固化为一个整数；未验收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被误纳入。</t>
    </r>
  </si>
  <si>
    <r>
      <rPr>
        <sz val="9"/>
        <color rgb="FF24323D"/>
        <rFont val="Linux Libertine G"/>
        <family val="2"/>
      </rPr>
      <t xml:space="preserve">每个工作包原子提交；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冻结提交为返回点。</t>
    </r>
  </si>
  <si>
    <t xml:space="preserve">持久外城战区＋多军队数据模型</t>
  </si>
  <si>
    <t xml:space="preserve">多支军队可以在持久外城道路上行军、驻扎、支援、进攻、返回，重进场景后位置与进度一致。</t>
  </si>
  <si>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常态内城</t>
    </r>
  </si>
  <si>
    <r>
      <rPr>
        <sz val="9"/>
        <color rgb="FF24323D"/>
        <rFont val="Hiragino Sans GB"/>
        <family val="0"/>
        <charset val="1"/>
      </rPr>
      <t xml:space="preserve">V5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与存档迁移稳定。</t>
    </r>
  </si>
  <si>
    <r>
      <rPr>
        <sz val="9"/>
        <color rgb="FF24323D"/>
        <rFont val="Linux Libertine G"/>
        <family val="2"/>
      </rPr>
      <t xml:space="preserve">在 </t>
    </r>
    <r>
      <rPr>
        <sz val="9"/>
        <color rgb="FF24323D"/>
        <rFont val="Hiragino Sans GB"/>
        <family val="0"/>
        <charset val="1"/>
      </rPr>
      <t xml:space="preserve">V5 ArmyState </t>
    </r>
    <r>
      <rPr>
        <sz val="9"/>
        <color rgb="FF24323D"/>
        <rFont val="Linux Libertine G"/>
        <family val="2"/>
      </rPr>
      <t xml:space="preserve">集合容器上启用多个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、持久战区状态、</t>
    </r>
    <r>
      <rPr>
        <sz val="9"/>
        <color rgb="FF24323D"/>
        <rFont val="Hiragino Sans GB"/>
        <family val="0"/>
        <charset val="1"/>
      </rPr>
      <t xml:space="preserve">RouteState</t>
    </r>
    <r>
      <rPr>
        <sz val="9"/>
        <color rgb="FF24323D"/>
        <rFont val="Linux Libertine G"/>
        <family val="2"/>
      </rPr>
      <t xml:space="preserve">、完整行军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场景恢复、遭遇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围城触发合同。</t>
    </r>
  </si>
  <si>
    <r>
      <rPr>
        <sz val="9"/>
        <color rgb="FF24323D"/>
        <rFont val="Linux Libertine G"/>
        <family val="2"/>
      </rPr>
      <t xml:space="preserve">不实现完整遭遇战与攻城表现；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仍可一次只操作一支军队。</t>
    </r>
  </si>
  <si>
    <t xml:space="preserve">Theater/World-map strategic state, RouteState, V5 ArmyState collection extension, encounter/siege trigger facts</t>
  </si>
  <si>
    <r>
      <rPr>
        <sz val="9"/>
        <color rgb="FF24323D"/>
        <rFont val="Linux Libertine G"/>
        <family val="2"/>
      </rPr>
      <t xml:space="preserve">多军队守恒、并发到达幂等、行军保存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恢复、场景重进、触发合同。</t>
    </r>
  </si>
  <si>
    <r>
      <rPr>
        <sz val="9"/>
        <color rgb="FF24323D"/>
        <rFont val="Linux Libertine G"/>
        <family val="2"/>
      </rPr>
      <t xml:space="preserve">两支军队分别行军并重进外城；驻扎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支援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返回可读。</t>
    </r>
  </si>
  <si>
    <t xml:space="preserve">状态所有权、并发与迁移独立复查。</t>
  </si>
  <si>
    <r>
      <rPr>
        <sz val="9"/>
        <color rgb="FF24323D"/>
        <rFont val="Linux Libertine G"/>
        <family val="2"/>
      </rPr>
      <t xml:space="preserve">把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单命令限制固化为模型单例；战略状态与表现 </t>
    </r>
    <r>
      <rPr>
        <sz val="9"/>
        <color rgb="FF24323D"/>
        <rFont val="Hiragino Sans GB"/>
        <family val="0"/>
        <charset val="1"/>
      </rPr>
      <t xml:space="preserve">fixture </t>
    </r>
    <r>
      <rPr>
        <sz val="9"/>
        <color rgb="FF24323D"/>
        <rFont val="Linux Libertine G"/>
        <family val="2"/>
      </rPr>
      <t xml:space="preserve">混淆。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</si>
  <si>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外城状态迁移前备份。</t>
    </r>
  </si>
  <si>
    <t xml:space="preserve">步兵遭遇战</t>
  </si>
  <si>
    <t xml:space="preserve">两军在道路或据点相遇时进入可读、可决策的步兵遭遇战，结果写回军队与战区。</t>
  </si>
  <si>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BattleSession</t>
    </r>
  </si>
  <si>
    <r>
      <rPr>
        <sz val="9"/>
        <color rgb="FF24323D"/>
        <rFont val="Hiragino Sans GB"/>
        <family val="0"/>
        <charset val="1"/>
      </rPr>
      <t xml:space="preserve">V6 VERIFIED</t>
    </r>
    <r>
      <rPr>
        <sz val="9"/>
        <color rgb="FF24323D"/>
        <rFont val="Linux Libertine G"/>
        <family val="2"/>
      </rPr>
      <t xml:space="preserve">；遭遇触发合同已冻结。</t>
    </r>
  </si>
  <si>
    <r>
      <rPr>
        <sz val="9"/>
        <color rgb="FF24323D"/>
        <rFont val="Linux Libertine G"/>
        <family val="2"/>
      </rPr>
      <t xml:space="preserve">遭遇 </t>
    </r>
    <r>
      <rPr>
        <sz val="9"/>
        <color rgb="FF24323D"/>
        <rFont val="Hiragino Sans GB"/>
        <family val="0"/>
        <charset val="1"/>
      </rPr>
      <t xml:space="preserve">BattleRequest</t>
    </r>
    <r>
      <rPr>
        <sz val="9"/>
        <color rgb="FF24323D"/>
        <rFont val="Linux Libertine G"/>
        <family val="2"/>
      </rPr>
      <t xml:space="preserve">、步兵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适配、结果写回、撤退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胜利。</t>
    </r>
  </si>
  <si>
    <t xml:space="preserve">不做第二兵种、攻城、复杂地形、装备与将领主动技能。</t>
  </si>
  <si>
    <t xml:space="preserve">BattleRequest, BattleSession, BattleResult, ArmyState outcome adapter</t>
  </si>
  <si>
    <t xml:space="preserve">确定性、兵力守恒、重复结果、返回与存档回归。</t>
  </si>
  <si>
    <t xml:space="preserve">至少胜利、失败、撤退各一次并解释原因。</t>
  </si>
  <si>
    <t xml:space="preserve">战斗事实与战略写回边界复查。</t>
  </si>
  <si>
    <r>
      <rPr>
        <sz val="9"/>
        <color rgb="FF24323D"/>
        <rFont val="Linux Libertine G"/>
        <family val="2"/>
      </rPr>
      <t xml:space="preserve">复制 </t>
    </r>
    <r>
      <rPr>
        <sz val="9"/>
        <color rgb="FF24323D"/>
        <rFont val="Hiragino Sans GB"/>
        <family val="0"/>
        <charset val="1"/>
      </rPr>
      <t xml:space="preserve">C0 </t>
    </r>
    <r>
      <rPr>
        <sz val="9"/>
        <color rgb="FF24323D"/>
        <rFont val="Linux Libertine G"/>
        <family val="2"/>
      </rPr>
      <t xml:space="preserve">战斗规则；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直接修改持久状态。</t>
    </r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</si>
  <si>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冻结提交。</t>
    </r>
  </si>
  <si>
    <t xml:space="preserve">围城状态＋战事内城</t>
  </si>
  <si>
    <r>
      <rPr>
        <sz val="9"/>
        <color rgb="FF24323D"/>
        <rFont val="Linux Libertine G"/>
        <family val="2"/>
      </rPr>
      <t xml:space="preserve">军队抵达敌城后形成围城；进入临时战事内城，城墙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城门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核心代表战役，不摧毁常态内城布局。</t>
    </r>
  </si>
  <si>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战事内城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持久城市</t>
    </r>
  </si>
  <si>
    <r>
      <rPr>
        <sz val="9"/>
        <color rgb="FF24323D"/>
        <rFont val="Hiragino Sans GB"/>
        <family val="0"/>
        <charset val="1"/>
      </rPr>
      <t xml:space="preserve">V7 VERIFIED</t>
    </r>
    <r>
      <rPr>
        <sz val="9"/>
        <color rgb="FF24323D"/>
        <rFont val="Linux Libertine G"/>
        <family val="2"/>
      </rPr>
      <t xml:space="preserve">；围城触发与城市保全契约通过。</t>
    </r>
  </si>
  <si>
    <r>
      <rPr>
        <sz val="9"/>
        <color rgb="FF24323D"/>
        <rFont val="Hiragino Sans GB"/>
        <family val="0"/>
        <charset val="1"/>
      </rPr>
      <t xml:space="preserve">Siege contract</t>
    </r>
    <r>
      <rPr>
        <sz val="9"/>
        <color rgb="FF24323D"/>
        <rFont val="Linux Libertine G"/>
        <family val="2"/>
      </rPr>
      <t xml:space="preserve">、战事内城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配置、可维修损伤、结果协调写回。</t>
    </r>
  </si>
  <si>
    <t xml:space="preserve">不复制城市建设、不随机删除建筑、不实现第二城市。</t>
  </si>
  <si>
    <t xml:space="preserve">SiegeSession concept or BattleSession specialization, City damage facts, outcome resolver</t>
  </si>
  <si>
    <t xml:space="preserve">城市布局保全、损伤幂等、胜败撤退、重复返回。</t>
  </si>
  <si>
    <t xml:space="preserve">战时核心被攻破后常态内城布局仍存在且后果可理解。</t>
  </si>
  <si>
    <r>
      <rPr>
        <sz val="9"/>
        <color rgb="FF24323D"/>
        <rFont val="Hiragino Sans GB"/>
        <family val="0"/>
        <charset val="1"/>
      </rPr>
      <t xml:space="preserve">CityState/</t>
    </r>
    <r>
      <rPr>
        <sz val="9"/>
        <color rgb="FF24323D"/>
        <rFont val="Linux Libertine G"/>
        <family val="2"/>
      </rPr>
      <t xml:space="preserve">战事内城边界高风险复查。</t>
    </r>
  </si>
  <si>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失败被误写为删城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重置布局。</t>
    </r>
  </si>
  <si>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城市数据备份。</t>
    </r>
  </si>
  <si>
    <t xml:space="preserve">第二持久城市＋占领闭环</t>
  </si>
  <si>
    <r>
      <rPr>
        <sz val="9"/>
        <color rgb="FF24323D"/>
        <rFont val="Linux Libertine G"/>
        <family val="2"/>
      </rPr>
      <t xml:space="preserve">玩家可占领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收复第二城市；其布局和归属持久，失败不销毁原布局。</t>
    </r>
  </si>
  <si>
    <r>
      <rPr>
        <sz val="9"/>
        <color rgb="FF24323D"/>
        <rFont val="Linux Libertine G"/>
        <family val="2"/>
      </rPr>
      <t xml:space="preserve">常态内城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天下地图</t>
    </r>
  </si>
  <si>
    <r>
      <rPr>
        <sz val="9"/>
        <color rgb="FF24323D"/>
        <rFont val="Hiragino Sans GB"/>
        <family val="0"/>
        <charset val="1"/>
      </rPr>
      <t xml:space="preserve">V8 VERIFIED</t>
    </r>
    <r>
      <rPr>
        <sz val="9"/>
        <color rgb="FF24323D"/>
        <rFont val="Linux Libertine G"/>
        <family val="2"/>
      </rPr>
      <t xml:space="preserve">；多城市 </t>
    </r>
    <r>
      <rPr>
        <sz val="9"/>
        <color rgb="FF24323D"/>
        <rFont val="Hiragino Sans GB"/>
        <family val="0"/>
        <charset val="1"/>
      </rPr>
      <t xml:space="preserve">identity </t>
    </r>
    <r>
      <rPr>
        <sz val="9"/>
        <color rgb="FF24323D"/>
        <rFont val="Linux Libertine G"/>
        <family val="2"/>
      </rPr>
      <t xml:space="preserve">与迁移设计通过。</t>
    </r>
  </si>
  <si>
    <r>
      <rPr>
        <sz val="9"/>
        <color rgb="FF24323D"/>
        <rFont val="Linux Libertine G"/>
        <family val="2"/>
      </rPr>
      <t xml:space="preserve">第二城市实例、归属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锁定、占领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收复、城市切换和存档。</t>
    </r>
  </si>
  <si>
    <t xml:space="preserve">不扩大城市数量、不做完整世界经济。</t>
  </si>
  <si>
    <t xml:space="preserve">City identity registry, persistent city instances, ownership facts</t>
  </si>
  <si>
    <t xml:space="preserve">城市隔离、归属幂等、布局保全、迁移。</t>
  </si>
  <si>
    <t xml:space="preserve">占领、切换、失败、收复后的两个城市状态清晰。</t>
  </si>
  <si>
    <t xml:space="preserve">多城市单一事实源与迁移复查。</t>
  </si>
  <si>
    <r>
      <rPr>
        <sz val="9"/>
        <color rgb="FF24323D"/>
        <rFont val="Linux Libertine G"/>
        <family val="2"/>
      </rPr>
      <t xml:space="preserve">通过复制 </t>
    </r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形成多个互相漂移的真相。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</si>
  <si>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schema </t>
    </r>
    <r>
      <rPr>
        <sz val="9"/>
        <color rgb="FF24323D"/>
        <rFont val="Linux Libertine G"/>
        <family val="2"/>
      </rPr>
      <t xml:space="preserve">迁移前备份。</t>
    </r>
  </si>
  <si>
    <t xml:space="preserve">敌方战略行动</t>
  </si>
  <si>
    <t xml:space="preserve">敌军会在天下地图上增援、封锁、进攻；玩家能提前看见并响应。</t>
  </si>
  <si>
    <r>
      <rPr>
        <sz val="9"/>
        <color rgb="FF24323D"/>
        <rFont val="Linux Libertine G"/>
        <family val="2"/>
      </rPr>
      <t xml:space="preserve">天下地图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</t>
    </r>
  </si>
  <si>
    <r>
      <rPr>
        <sz val="9"/>
        <color rgb="FF24323D"/>
        <rFont val="Hiragino Sans GB"/>
        <family val="0"/>
        <charset val="1"/>
      </rPr>
      <t xml:space="preserve">V9 VERIFIED</t>
    </r>
    <r>
      <rPr>
        <sz val="9"/>
        <color rgb="FF24323D"/>
        <rFont val="Linux Libertine G"/>
        <family val="2"/>
      </rPr>
      <t xml:space="preserve">；战略时间和敌方命令合同通过。</t>
    </r>
  </si>
  <si>
    <r>
      <rPr>
        <sz val="9"/>
        <color rgb="FF24323D"/>
        <rFont val="Linux Libertine G"/>
        <family val="2"/>
      </rPr>
      <t xml:space="preserve">确定性敌方行动、预告、路线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驻军变化和结果日志。</t>
    </r>
  </si>
  <si>
    <r>
      <rPr>
        <sz val="9"/>
        <color rgb="FF24323D"/>
        <rFont val="Linux Libertine G"/>
        <family val="2"/>
      </rPr>
      <t xml:space="preserve">不做复杂 </t>
    </r>
    <r>
      <rPr>
        <sz val="9"/>
        <color rgb="FF24323D"/>
        <rFont val="Hiragino Sans GB"/>
        <family val="0"/>
        <charset val="1"/>
      </rPr>
      <t xml:space="preserve">AI </t>
    </r>
    <r>
      <rPr>
        <sz val="9"/>
        <color rgb="FF24323D"/>
        <rFont val="Linux Libertine G"/>
        <family val="2"/>
      </rPr>
      <t xml:space="preserve">学习、不做随机事件海量池。</t>
    </r>
  </si>
  <si>
    <t xml:space="preserve">World strategic state, enemy orders, deterministic schedule/seed contract</t>
  </si>
  <si>
    <t xml:space="preserve">确定性重放、顺序、冲突、重复执行与存档。</t>
  </si>
  <si>
    <t xml:space="preserve">玩家能说清敌军下一步及自己的应对。</t>
  </si>
  <si>
    <t xml:space="preserve">敌方状态写入、时间顺序和可读性复查。</t>
  </si>
  <si>
    <r>
      <rPr>
        <sz val="9"/>
        <color rgb="FF24323D"/>
        <rFont val="Linux Libertine G"/>
        <family val="2"/>
      </rPr>
      <t xml:space="preserve">敌方逻辑绕过城市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军队权威入口。</t>
    </r>
  </si>
  <si>
    <r>
      <rPr>
        <sz val="9"/>
        <color rgb="FF24323D"/>
        <rFont val="Hiragino Sans GB"/>
        <family val="0"/>
        <charset val="1"/>
      </rPr>
      <t xml:space="preserve">V9 </t>
    </r>
    <r>
      <rPr>
        <sz val="9"/>
        <color rgb="FF24323D"/>
        <rFont val="Linux Libertine G"/>
        <family val="2"/>
      </rPr>
      <t xml:space="preserve">冻结提交。</t>
    </r>
  </si>
  <si>
    <t xml:space="preserve">第二兵种＋正式编组</t>
  </si>
  <si>
    <r>
      <rPr>
        <sz val="9"/>
        <color rgb="FF24323D"/>
        <rFont val="Linux Libertine G"/>
        <family val="2"/>
      </rPr>
      <t xml:space="preserve">玩家用两种真实兵种组成可保存编组，并在战前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战中体现差异。</t>
    </r>
  </si>
  <si>
    <r>
      <rPr>
        <sz val="9"/>
        <color rgb="FF24323D"/>
        <rFont val="Linux Libertine G"/>
        <family val="2"/>
      </rPr>
      <t xml:space="preserve">常态内城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BattleSession</t>
    </r>
  </si>
  <si>
    <r>
      <rPr>
        <sz val="9"/>
        <color rgb="FF24323D"/>
        <rFont val="Hiragino Sans GB"/>
        <family val="0"/>
        <charset val="1"/>
      </rPr>
      <t xml:space="preserve">V10 VERIFIED</t>
    </r>
    <r>
      <rPr>
        <sz val="9"/>
        <color rgb="FF24323D"/>
        <rFont val="Linux Libertine G"/>
        <family val="2"/>
      </rPr>
      <t xml:space="preserve">；单兵种数据合同已证明可扩展。</t>
    </r>
  </si>
  <si>
    <r>
      <rPr>
        <sz val="9"/>
        <color rgb="FF24323D"/>
        <rFont val="Linux Libertine G"/>
        <family val="2"/>
      </rPr>
      <t xml:space="preserve">第二 </t>
    </r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、训练与补给规则、编组、战斗差异。</t>
    </r>
  </si>
  <si>
    <r>
      <rPr>
        <sz val="9"/>
        <color rgb="FF24323D"/>
        <rFont val="Linux Libertine G"/>
        <family val="2"/>
      </rPr>
      <t xml:space="preserve">不一次扩四兵种、不做装备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抽卡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将领养成。</t>
    </r>
  </si>
  <si>
    <t xml:space="preserve">UnitDefinition collection, Formation/Army composition</t>
  </si>
  <si>
    <t xml:space="preserve">多兵种守恒、训练、编组、迁移、战斗结果。</t>
  </si>
  <si>
    <t xml:space="preserve">两种编组产生可解释的不同结果。</t>
  </si>
  <si>
    <t xml:space="preserve">数据迁移与战斗平衡接口复查。</t>
  </si>
  <si>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空选项先于规则；旧单整数兵力迁移丢失。</t>
    </r>
  </si>
  <si>
    <r>
      <rPr>
        <sz val="9"/>
        <color rgb="FF24323D"/>
        <rFont val="Hiragino Sans GB"/>
        <family val="0"/>
        <charset val="1"/>
      </rPr>
      <t xml:space="preserve">V10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schema </t>
    </r>
    <r>
      <rPr>
        <sz val="9"/>
        <color rgb="FF24323D"/>
        <rFont val="Linux Libertine G"/>
        <family val="2"/>
      </rPr>
      <t xml:space="preserve">备份。</t>
    </r>
  </si>
  <si>
    <t xml:space="preserve">工程、侦察、伏击和特殊行动</t>
  </si>
  <si>
    <t xml:space="preserve">军队可执行少量明确的非正面战斗行动，改变路线、情报或战斗条件。</t>
  </si>
  <si>
    <r>
      <rPr>
        <sz val="9"/>
        <color rgb="FF24323D"/>
        <rFont val="Linux Libertine G"/>
        <family val="2"/>
      </rPr>
      <t xml:space="preserve">天下地图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BattleSession</t>
    </r>
  </si>
  <si>
    <r>
      <rPr>
        <sz val="9"/>
        <color rgb="FF24323D"/>
        <rFont val="Hiragino Sans GB"/>
        <family val="0"/>
        <charset val="1"/>
      </rPr>
      <t xml:space="preserve">V11 VERIFIED</t>
    </r>
    <r>
      <rPr>
        <sz val="9"/>
        <color rgb="FF24323D"/>
        <rFont val="Linux Libertine G"/>
        <family val="2"/>
      </rPr>
      <t xml:space="preserve">；行动命令与资源成本合同冻结。</t>
    </r>
  </si>
  <si>
    <r>
      <rPr>
        <sz val="9"/>
        <color rgb="FF24323D"/>
        <rFont val="Linux Libertine G"/>
        <family val="2"/>
      </rPr>
      <t xml:space="preserve">工程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侦察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伏击工作包、特殊行动结果、存档和反馈。</t>
    </r>
  </si>
  <si>
    <t xml:space="preserve">不扩成通用脚本引擎、不堆空技能和无结果按钮。</t>
  </si>
  <si>
    <t xml:space="preserve">Strategic order facts, route modifiers, intel facts, battle modifiers</t>
  </si>
  <si>
    <r>
      <rPr>
        <sz val="9"/>
        <color rgb="FF24323D"/>
        <rFont val="Linux Libertine G"/>
        <family val="2"/>
      </rPr>
      <t xml:space="preserve">一次性成本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结果、取消、冲突、存档与回归。</t>
    </r>
  </si>
  <si>
    <t xml:space="preserve">每种行动都能看到代价、结果和下一决策。</t>
  </si>
  <si>
    <t xml:space="preserve">范围、状态写回与玩法价值复查。</t>
  </si>
  <si>
    <t xml:space="preserve">特殊行动成为无边界框架或重复状态。</t>
  </si>
  <si>
    <r>
      <rPr>
        <sz val="9"/>
        <color rgb="FF24323D"/>
        <rFont val="Hiragino Sans GB"/>
        <family val="0"/>
        <charset val="1"/>
      </rPr>
      <t xml:space="preserve">V11 </t>
    </r>
    <r>
      <rPr>
        <sz val="9"/>
        <color rgb="FF24323D"/>
        <rFont val="Linux Libertine G"/>
        <family val="2"/>
      </rPr>
      <t xml:space="preserve">冻结提交。</t>
    </r>
  </si>
  <si>
    <t xml:space="preserve">任务总表</t>
  </si>
  <si>
    <r>
      <rPr>
        <i val="true"/>
        <sz val="10"/>
        <color rgb="FF34495E"/>
        <rFont val="Linux Libertine G"/>
        <family val="2"/>
      </rPr>
      <t xml:space="preserve">任务粒度为可独立验证结果；普通机械步骤不单列。</t>
    </r>
    <r>
      <rPr>
        <i val="true"/>
        <sz val="10"/>
        <color rgb="FF34495E"/>
        <rFont val="Hiragino Sans GB"/>
        <family val="0"/>
        <charset val="1"/>
      </rPr>
      <t xml:space="preserve">V4-P5-T001 </t>
    </r>
    <r>
      <rPr>
        <i val="true"/>
        <sz val="10"/>
        <color rgb="FF34495E"/>
        <rFont val="Linux Libertine G"/>
        <family val="2"/>
      </rPr>
      <t xml:space="preserve">是当前唯一合法 </t>
    </r>
    <r>
      <rPr>
        <i val="true"/>
        <sz val="10"/>
        <color rgb="FF34495E"/>
        <rFont val="Hiragino Sans GB"/>
        <family val="0"/>
        <charset val="1"/>
      </rPr>
      <t xml:space="preserve">READY </t>
    </r>
    <r>
      <rPr>
        <i val="true"/>
        <sz val="10"/>
        <color rgb="FF34495E"/>
        <rFont val="Linux Libertine G"/>
        <family val="2"/>
      </rPr>
      <t xml:space="preserve">任务，本轮未执行。</t>
    </r>
  </si>
  <si>
    <t xml:space="preserve">Task ID</t>
  </si>
  <si>
    <t xml:space="preserve">Parent ID</t>
  </si>
  <si>
    <t xml:space="preserve">Phase</t>
  </si>
  <si>
    <t xml:space="preserve">Work Package</t>
  </si>
  <si>
    <t xml:space="preserve">Task Name</t>
  </si>
  <si>
    <t xml:space="preserve">Task Type</t>
  </si>
  <si>
    <t xml:space="preserve">Goal</t>
  </si>
  <si>
    <t xml:space="preserve">Background</t>
  </si>
  <si>
    <t xml:space="preserve">In Scope</t>
  </si>
  <si>
    <t xml:space="preserve">Out of Scope</t>
  </si>
  <si>
    <r>
      <rPr>
        <b val="true"/>
        <sz val="10"/>
        <color rgb="FFFFFFFF"/>
        <rFont val="Hiragino Sans GB"/>
        <family val="0"/>
        <charset val="1"/>
      </rPr>
      <t xml:space="preserve">Relevant Files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Modules</t>
    </r>
  </si>
  <si>
    <t xml:space="preserve">Inputs</t>
  </si>
  <si>
    <t xml:space="preserve">Expected Output</t>
  </si>
  <si>
    <t xml:space="preserve">Dependencies</t>
  </si>
  <si>
    <t xml:space="preserve">Entry Criteria</t>
  </si>
  <si>
    <t xml:space="preserve">Acceptance Criteria</t>
  </si>
  <si>
    <t xml:space="preserve">Validation Method</t>
  </si>
  <si>
    <t xml:space="preserve">Test IDs</t>
  </si>
  <si>
    <t xml:space="preserve">Test Mapping Status</t>
  </si>
  <si>
    <t xml:space="preserve">Rollback Method</t>
  </si>
  <si>
    <t xml:space="preserve">Stop Conditions</t>
  </si>
  <si>
    <t xml:space="preserve">Implementer</t>
  </si>
  <si>
    <t xml:space="preserve">Reviewer</t>
  </si>
  <si>
    <t xml:space="preserve">Priority</t>
  </si>
  <si>
    <t xml:space="preserve">Risk</t>
  </si>
  <si>
    <t xml:space="preserve">Status</t>
  </si>
  <si>
    <t xml:space="preserve">Planned Effort</t>
  </si>
  <si>
    <t xml:space="preserve">Actual Effort</t>
  </si>
  <si>
    <t xml:space="preserve">Start Time</t>
  </si>
  <si>
    <t xml:space="preserve">Completion Time</t>
  </si>
  <si>
    <t xml:space="preserve">Evidence Link</t>
  </si>
  <si>
    <t xml:space="preserve">Review Record ID</t>
  </si>
  <si>
    <t xml:space="preserve">Decision Record ID</t>
  </si>
  <si>
    <t xml:space="preserve">Progress Denominator Flag</t>
  </si>
  <si>
    <t xml:space="preserve">Notes</t>
  </si>
  <si>
    <t xml:space="preserve">Gate IDs</t>
  </si>
  <si>
    <t xml:space="preserve">V4-P4-T000</t>
  </si>
  <si>
    <r>
      <rPr>
        <sz val="9"/>
        <color rgb="FF24323D"/>
        <rFont val="Hiragino Sans GB"/>
        <family val="0"/>
        <charset val="1"/>
      </rPr>
      <t xml:space="preserve">P4 </t>
    </r>
    <r>
      <rPr>
        <sz val="9"/>
        <color rgb="FF24323D"/>
        <rFont val="Linux Libertine G"/>
        <family val="2"/>
      </rPr>
      <t xml:space="preserve">当前实现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</si>
  <si>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路线先行派遣与可见行军实现</t>
    </r>
  </si>
  <si>
    <t xml:space="preserve">Implementation</t>
  </si>
  <si>
    <r>
      <rPr>
        <sz val="9"/>
        <color rgb="FF24323D"/>
        <rFont val="Linux Libertine G"/>
        <family val="2"/>
      </rPr>
      <t xml:space="preserve">保留当前 </t>
    </r>
    <r>
      <rPr>
        <sz val="9"/>
        <color rgb="FF24323D"/>
        <rFont val="Hiragino Sans GB"/>
        <family val="0"/>
        <charset val="1"/>
      </rPr>
      <t xml:space="preserve">dirty </t>
    </r>
    <r>
      <rPr>
        <sz val="9"/>
        <color rgb="FF24323D"/>
        <rFont val="Linux Libertine G"/>
        <family val="2"/>
      </rPr>
      <t xml:space="preserve">三文件所实现的路线选择、比例调遣、驻军守恒、连续行军和到达结算。</t>
    </r>
  </si>
  <si>
    <r>
      <rPr>
        <sz val="9"/>
        <color rgb="FF24323D"/>
        <rFont val="Linux Libertine G"/>
        <family val="2"/>
      </rPr>
      <t xml:space="preserve">实现已存在且 </t>
    </r>
    <r>
      <rPr>
        <sz val="9"/>
        <color rgb="FF24323D"/>
        <rFont val="Hiragino Sans GB"/>
        <family val="0"/>
        <charset val="1"/>
      </rPr>
      <t xml:space="preserve">tracked </t>
    </r>
    <r>
      <rPr>
        <sz val="9"/>
        <color rgb="FF24323D"/>
        <rFont val="Linux Libertine G"/>
        <family val="2"/>
      </rPr>
      <t xml:space="preserve">回归通过，但尚未独立复查与用户最终冻结。</t>
    </r>
  </si>
  <si>
    <t xml:space="preserve">仅作为待复查事实索引；不在本规划轮修改实现。</t>
  </si>
  <si>
    <r>
      <rPr>
        <sz val="9"/>
        <color rgb="FF24323D"/>
        <rFont val="Linux Libertine G"/>
        <family val="2"/>
      </rPr>
      <t xml:space="preserve">不把实现者总结升级为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。</t>
    </r>
  </si>
  <si>
    <t xml:space="preserve">blackstone_expedition_mvp.tscn; blackstone_expedition_mvp.gd; MVP smoke</t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</si>
  <si>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diff + /tmp backup patch</t>
    </r>
  </si>
  <si>
    <r>
      <rPr>
        <sz val="9"/>
        <color rgb="FF24323D"/>
        <rFont val="Linux Libertine G"/>
        <family val="2"/>
      </rPr>
      <t xml:space="preserve">供 </t>
    </r>
    <r>
      <rPr>
        <sz val="9"/>
        <color rgb="FF24323D"/>
        <rFont val="Hiragino Sans GB"/>
        <family val="0"/>
        <charset val="1"/>
      </rPr>
      <t xml:space="preserve">V4-P5-T001 </t>
    </r>
    <r>
      <rPr>
        <sz val="9"/>
        <color rgb="FF24323D"/>
        <rFont val="Linux Libertine G"/>
        <family val="2"/>
      </rPr>
      <t xml:space="preserve">复查的固定 </t>
    </r>
    <r>
      <rPr>
        <sz val="9"/>
        <color rgb="FF24323D"/>
        <rFont val="Hiragino Sans GB"/>
        <family val="0"/>
        <charset val="1"/>
      </rPr>
      <t xml:space="preserve">diff</t>
    </r>
  </si>
  <si>
    <r>
      <rPr>
        <sz val="9"/>
        <color rgb="FF24323D"/>
        <rFont val="Hiragino Sans GB"/>
        <family val="0"/>
        <charset val="1"/>
      </rPr>
      <t xml:space="preserve">G0 </t>
    </r>
    <r>
      <rPr>
        <sz val="9"/>
        <color rgb="FF24323D"/>
        <rFont val="Linux Libertine G"/>
        <family val="2"/>
      </rPr>
      <t xml:space="preserve">基线已锁定</t>
    </r>
  </si>
  <si>
    <t xml:space="preserve">必须由独立复查和用户实体门决定是否通过。</t>
  </si>
  <si>
    <t xml:space="preserve">tracked smoke + independent review + physical mouse</t>
  </si>
  <si>
    <t xml:space="preserve">T-V4-001,T-V4-002,T-V4-003</t>
  </si>
  <si>
    <t xml:space="preserve">MAPPED</t>
  </si>
  <si>
    <r>
      <rPr>
        <sz val="9"/>
        <color rgb="FF24323D"/>
        <rFont val="Linux Libertine G"/>
        <family val="2"/>
      </rPr>
      <t xml:space="preserve">冻结前仅对记录的三文件使用哈希校验后的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git apply --reverse --check </t>
    </r>
    <r>
      <rPr>
        <sz val="9"/>
        <color rgb="FF24323D"/>
        <rFont val="Linux Libertine G"/>
        <family val="2"/>
      </rPr>
      <t xml:space="preserve">后撤销，</t>
    </r>
    <r>
      <rPr>
        <sz val="9"/>
        <color rgb="FF24323D"/>
        <rFont val="Hiragino Sans GB"/>
        <family val="0"/>
        <charset val="1"/>
      </rPr>
      <t xml:space="preserve">git apply --check </t>
    </r>
    <r>
      <rPr>
        <sz val="9"/>
        <color rgb="FF24323D"/>
        <rFont val="Linux Libertine G"/>
        <family val="2"/>
      </rPr>
      <t xml:space="preserve">后恢复；冻结后以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原子提交及其父提交为持久回滚点</t>
    </r>
  </si>
  <si>
    <r>
      <rPr>
        <sz val="9"/>
        <color rgb="FF24323D"/>
        <rFont val="Linux Libertine G"/>
        <family val="2"/>
      </rPr>
      <t xml:space="preserve">发现未知 </t>
    </r>
    <r>
      <rPr>
        <sz val="9"/>
        <color rgb="FF24323D"/>
        <rFont val="Hiragino Sans GB"/>
        <family val="0"/>
        <charset val="1"/>
      </rPr>
      <t xml:space="preserve">dirty</t>
    </r>
    <r>
      <rPr>
        <sz val="9"/>
        <color rgb="FF24323D"/>
        <rFont val="Linux Libertine G"/>
        <family val="2"/>
      </rPr>
      <t xml:space="preserve">、状态守恒失败、卡死或受保护文件变化。</t>
    </r>
  </si>
  <si>
    <t xml:space="preserve">Main Codex</t>
  </si>
  <si>
    <t xml:space="preserve">Independent Codex + User</t>
  </si>
  <si>
    <t xml:space="preserve">P0</t>
  </si>
  <si>
    <t xml:space="preserve">HIGH</t>
  </si>
  <si>
    <t xml:space="preserve">L</t>
  </si>
  <si>
    <t xml:space="preserve">docs/reports/TXWZS_V4_MILESTONE_CLOSURE_001.md</t>
  </si>
  <si>
    <r>
      <rPr>
        <sz val="9"/>
        <color rgb="FF24323D"/>
        <rFont val="Linux Libertine G"/>
        <family val="2"/>
      </rPr>
      <t xml:space="preserve">实现、路线视觉 </t>
    </r>
    <r>
      <rPr>
        <sz val="9"/>
        <color rgb="FF24323D"/>
        <rFont val="Hiragino Sans GB"/>
        <family val="0"/>
        <charset val="1"/>
      </rPr>
      <t xml:space="preserve">Repair 001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Independent Review 002 </t>
    </r>
    <r>
      <rPr>
        <sz val="9"/>
        <color rgb="FF24323D"/>
        <rFont val="Linux Libertine G"/>
        <family val="2"/>
      </rPr>
      <t xml:space="preserve">与最终候选综合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均通过；候选三文件哈希未变化。</t>
    </r>
  </si>
  <si>
    <t xml:space="preserve">V4-G0</t>
  </si>
  <si>
    <t xml:space="preserve">V4-P5-T001</t>
  </si>
  <si>
    <r>
      <rPr>
        <sz val="9"/>
        <color rgb="FF24323D"/>
        <rFont val="Hiragino Sans GB"/>
        <family val="0"/>
        <charset val="1"/>
      </rPr>
      <t xml:space="preserve">P5 </t>
    </r>
    <r>
      <rPr>
        <sz val="9"/>
        <color rgb="FF24323D"/>
        <rFont val="Linux Libertine G"/>
        <family val="2"/>
      </rPr>
      <t xml:space="preserve">独立复查</t>
    </r>
  </si>
  <si>
    <r>
      <rPr>
        <sz val="9"/>
        <color rgb="FF24323D"/>
        <rFont val="Linux Libertine G"/>
        <family val="2"/>
      </rPr>
      <t xml:space="preserve">独立复查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派遣主链路</t>
    </r>
  </si>
  <si>
    <t xml:space="preserve">Review</t>
  </si>
  <si>
    <r>
      <rPr>
        <sz val="9"/>
        <color rgb="FF24323D"/>
        <rFont val="Linux Libertine G"/>
        <family val="2"/>
      </rPr>
      <t xml:space="preserve">确认 </t>
    </r>
    <r>
      <rPr>
        <sz val="9"/>
        <color rgb="FF24323D"/>
        <rFont val="Hiragino Sans GB"/>
        <family val="0"/>
        <charset val="1"/>
      </rPr>
      <t xml:space="preserve">dirty V4 </t>
    </r>
    <r>
      <rPr>
        <sz val="9"/>
        <color rgb="FF24323D"/>
        <rFont val="Linux Libertine G"/>
        <family val="2"/>
      </rPr>
      <t xml:space="preserve">是否满足输入、驻军守恒、行军与一次性结算合同。</t>
    </r>
  </si>
  <si>
    <r>
      <rPr>
        <sz val="9"/>
        <color rgb="FF24323D"/>
        <rFont val="Linux Libertine G"/>
        <family val="2"/>
      </rPr>
      <t xml:space="preserve">当前三文件 </t>
    </r>
    <r>
      <rPr>
        <sz val="9"/>
        <color rgb="FF24323D"/>
        <rFont val="Hiragino Sans GB"/>
        <family val="0"/>
        <charset val="1"/>
      </rPr>
      <t xml:space="preserve">dirty </t>
    </r>
    <r>
      <rPr>
        <sz val="9"/>
        <color rgb="FF24323D"/>
        <rFont val="Linux Libertine G"/>
        <family val="2"/>
      </rPr>
      <t xml:space="preserve">且已通过 </t>
    </r>
    <r>
      <rPr>
        <sz val="9"/>
        <color rgb="FF24323D"/>
        <rFont val="Hiragino Sans GB"/>
        <family val="0"/>
        <charset val="1"/>
      </rPr>
      <t xml:space="preserve">tracked smoke</t>
    </r>
    <r>
      <rPr>
        <sz val="9"/>
        <color rgb="FF24323D"/>
        <rFont val="Linux Libertine G"/>
        <family val="2"/>
      </rPr>
      <t xml:space="preserve">，但尚未独立冻结。</t>
    </r>
  </si>
  <si>
    <r>
      <rPr>
        <sz val="9"/>
        <color rgb="FF24323D"/>
        <rFont val="Linux Libertine G"/>
        <family val="2"/>
      </rPr>
      <t xml:space="preserve">完整 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、真实窗口路径、</t>
    </r>
    <r>
      <rPr>
        <sz val="9"/>
        <color rgb="FF24323D"/>
        <rFont val="Hiragino Sans GB"/>
        <family val="0"/>
        <charset val="1"/>
      </rPr>
      <t xml:space="preserve">V4 smoke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保护哈希。</t>
    </r>
  </si>
  <si>
    <r>
      <rPr>
        <sz val="9"/>
        <color rgb="FF24323D"/>
        <rFont val="Linux Libertine G"/>
        <family val="2"/>
      </rPr>
      <t xml:space="preserve">不修功能、不扩多军队、不提交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</si>
  <si>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27/27 </t>
    </r>
    <r>
      <rPr>
        <sz val="9"/>
        <color rgb="FF24323D"/>
        <rFont val="Linux Libertine G"/>
        <family val="2"/>
      </rPr>
      <t xml:space="preserve">回归、用户实体反馈</t>
    </r>
  </si>
  <si>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review verdict </t>
    </r>
    <r>
      <rPr>
        <sz val="9"/>
        <color rgb="FF24323D"/>
        <rFont val="Linux Libertine G"/>
        <family val="2"/>
      </rPr>
      <t xml:space="preserve">与修复清单或接受证据</t>
    </r>
  </si>
  <si>
    <r>
      <rPr>
        <sz val="9"/>
        <color rgb="FF24323D"/>
        <rFont val="Hiragino Sans GB"/>
        <family val="0"/>
        <charset val="1"/>
      </rPr>
      <t xml:space="preserve">RVW-PLAN-003=USER_ACCEPTED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V4-G0=VERIFIED</t>
    </r>
  </si>
  <si>
    <r>
      <rPr>
        <sz val="9"/>
        <color rgb="FF24323D"/>
        <rFont val="Linux Libertine G"/>
        <family val="2"/>
      </rPr>
      <t xml:space="preserve">无阻断发现，或修复后复查通过；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哈希不变。</t>
    </r>
  </si>
  <si>
    <r>
      <rPr>
        <sz val="9"/>
        <color rgb="FF24323D"/>
        <rFont val="Linux Libertine G"/>
        <family val="2"/>
      </rPr>
      <t xml:space="preserve">独立复查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真实窗口复测</t>
    </r>
  </si>
  <si>
    <t xml:space="preserve">T-V4-001,T-V4-002,T-REG-001</t>
  </si>
  <si>
    <r>
      <rPr>
        <sz val="9"/>
        <color rgb="FF24323D"/>
        <rFont val="Linux Libertine G"/>
        <family val="2"/>
      </rPr>
      <t xml:space="preserve">冻结前：只对已记录的三文件运行 </t>
    </r>
    <r>
      <rPr>
        <sz val="9"/>
        <color rgb="FF24323D"/>
        <rFont val="Hiragino Sans GB"/>
        <family val="0"/>
        <charset val="1"/>
      </rPr>
      <t xml:space="preserve">git apply --reverse --check </t>
    </r>
    <r>
      <rPr>
        <sz val="9"/>
        <color rgb="FF24323D"/>
        <rFont val="Linux Libertine G"/>
        <family val="2"/>
      </rPr>
      <t xml:space="preserve">后反向应用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；丢失时以 </t>
    </r>
    <r>
      <rPr>
        <sz val="9"/>
        <color rgb="FF24323D"/>
        <rFont val="Hiragino Sans GB"/>
        <family val="0"/>
        <charset val="1"/>
      </rPr>
      <t xml:space="preserve">git apply --check </t>
    </r>
    <r>
      <rPr>
        <sz val="9"/>
        <color rgb="FF24323D"/>
        <rFont val="Linux Libertine G"/>
        <family val="2"/>
      </rPr>
      <t xml:space="preserve">后恢复，并校验 </t>
    </r>
    <r>
      <rPr>
        <sz val="9"/>
        <color rgb="FF24323D"/>
        <rFont val="Hiragino Sans GB"/>
        <family val="0"/>
        <charset val="1"/>
      </rPr>
      <t xml:space="preserve">patch SHA-256</t>
    </r>
    <r>
      <rPr>
        <sz val="9"/>
        <color rgb="FF24323D"/>
        <rFont val="Linux Libertine G"/>
        <family val="2"/>
      </rPr>
      <t xml:space="preserve">；冻结后：回到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原子提交的父提交（不改写历史）</t>
    </r>
  </si>
  <si>
    <r>
      <rPr>
        <sz val="9"/>
        <color rgb="FF24323D"/>
        <rFont val="Linux Libertine G"/>
        <family val="2"/>
      </rPr>
      <t xml:space="preserve">发现重复扣兵、卡死、状态复制、未知 </t>
    </r>
    <r>
      <rPr>
        <sz val="9"/>
        <color rgb="FF24323D"/>
        <rFont val="Hiragino Sans GB"/>
        <family val="0"/>
        <charset val="1"/>
      </rPr>
      <t xml:space="preserve">dirty</t>
    </r>
    <r>
      <rPr>
        <sz val="9"/>
        <color rgb="FF24323D"/>
        <rFont val="Linux Libertine G"/>
        <family val="2"/>
      </rPr>
      <t xml:space="preserve">。</t>
    </r>
  </si>
  <si>
    <t xml:space="preserve">Independent Codex</t>
  </si>
  <si>
    <t xml:space="preserve">M</t>
  </si>
  <si>
    <t xml:space="preserve">2026-07-29</t>
  </si>
  <si>
    <t xml:space="preserve">docs/reviews/TXWZS_V4_P5_T001_INDEPENDENT_REVIEW_002.md</t>
  </si>
  <si>
    <t xml:space="preserve">RVW-V4-P5-002</t>
  </si>
  <si>
    <r>
      <rPr>
        <sz val="9"/>
        <color rgb="FF24323D"/>
        <rFont val="Linux Libertine G"/>
        <family val="2"/>
      </rPr>
      <t xml:space="preserve">修复后独立复审关闭此前三个 </t>
    </r>
    <r>
      <rPr>
        <sz val="9"/>
        <color rgb="FF24323D"/>
        <rFont val="Hiragino Sans GB"/>
        <family val="0"/>
        <charset val="1"/>
      </rPr>
      <t xml:space="preserve">IMPORTANT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126 </t>
    </r>
    <r>
      <rPr>
        <sz val="9"/>
        <color rgb="FF24323D"/>
        <rFont val="Linux Libertine G"/>
        <family val="2"/>
      </rPr>
      <t xml:space="preserve">条专项断言、</t>
    </r>
    <r>
      <rPr>
        <sz val="9"/>
        <color rgb="FF24323D"/>
        <rFont val="Hiragino Sans GB"/>
        <family val="0"/>
        <charset val="1"/>
      </rPr>
      <t xml:space="preserve">27/27 tracked 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1490 </t>
    </r>
    <r>
      <rPr>
        <sz val="9"/>
        <color rgb="FF24323D"/>
        <rFont val="Linux Libertine G"/>
        <family val="2"/>
      </rPr>
      <t xml:space="preserve">条明确断言、正式窗口路径和结束保护通过。只释放 </t>
    </r>
    <r>
      <rPr>
        <sz val="9"/>
        <color rgb="FF24323D"/>
        <rFont val="Hiragino Sans GB"/>
        <family val="0"/>
        <charset val="1"/>
      </rPr>
      <t xml:space="preserve">V4-P6-T001 </t>
    </r>
    <r>
      <rPr>
        <sz val="9"/>
        <color rgb="FF24323D"/>
        <rFont val="Linux Libertine G"/>
        <family val="2"/>
      </rPr>
      <t xml:space="preserve">用户实体试玩；不代表 </t>
    </r>
    <r>
      <rPr>
        <sz val="9"/>
        <color rgb="FF24323D"/>
        <rFont val="Hiragino Sans GB"/>
        <family val="0"/>
        <charset val="1"/>
      </rPr>
      <t xml:space="preserve">T-V4-003 </t>
    </r>
    <r>
      <rPr>
        <sz val="9"/>
        <color rgb="FF24323D"/>
        <rFont val="Linux Libertine G"/>
        <family val="2"/>
      </rPr>
      <t xml:space="preserve">通过，不冻结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，不启动 </t>
    </r>
    <r>
      <rPr>
        <sz val="9"/>
        <color rgb="FF24323D"/>
        <rFont val="Hiragino Sans GB"/>
        <family val="0"/>
        <charset val="1"/>
      </rPr>
      <t xml:space="preserve">V5</t>
    </r>
    <r>
      <rPr>
        <sz val="9"/>
        <color rgb="FF24323D"/>
        <rFont val="Linux Libertine G"/>
        <family val="2"/>
      </rPr>
      <t xml:space="preserve">。</t>
    </r>
  </si>
  <si>
    <t xml:space="preserve">V4-G1,V4-G2,V4-G3,V4-G4,V4-G5</t>
  </si>
  <si>
    <t xml:space="preserve">V4-P6-T001</t>
  </si>
  <si>
    <r>
      <rPr>
        <sz val="9"/>
        <color rgb="FF24323D"/>
        <rFont val="Hiragino Sans GB"/>
        <family val="0"/>
        <charset val="1"/>
      </rPr>
      <t xml:space="preserve">P6 </t>
    </r>
    <r>
      <rPr>
        <sz val="9"/>
        <color rgb="FF24323D"/>
        <rFont val="Linux Libertine G"/>
        <family val="2"/>
      </rPr>
      <t xml:space="preserve">实体门</t>
    </r>
  </si>
  <si>
    <r>
      <rPr>
        <sz val="9"/>
        <color rgb="FF24323D"/>
        <rFont val="Linux Libertine G"/>
        <family val="2"/>
      </rPr>
      <t xml:space="preserve">完成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用户实体路径复测</t>
    </r>
  </si>
  <si>
    <t xml:space="preserve">Manual Gate</t>
  </si>
  <si>
    <t xml:space="preserve">用户用实体鼠标验证取消、部分派兵、支援、失败、援军胜利与重试。</t>
  </si>
  <si>
    <t xml:space="preserve">自动测试不能代替手感与可读性。</t>
  </si>
  <si>
    <r>
      <rPr>
        <sz val="9"/>
        <color rgb="FF24323D"/>
        <rFont val="Linux Libertine G"/>
        <family val="2"/>
      </rPr>
      <t xml:space="preserve">单一标准入口、当前 </t>
    </r>
    <r>
      <rPr>
        <sz val="9"/>
        <color rgb="FF24323D"/>
        <rFont val="Hiragino Sans GB"/>
        <family val="0"/>
        <charset val="1"/>
      </rPr>
      <t xml:space="preserve">commit/dirty </t>
    </r>
    <r>
      <rPr>
        <sz val="9"/>
        <color rgb="FF24323D"/>
        <rFont val="Linux Libertine G"/>
        <family val="2"/>
      </rPr>
      <t xml:space="preserve">标识、真实截图和结果。</t>
    </r>
  </si>
  <si>
    <t xml:space="preserve">不扩功能、不调整平衡。</t>
  </si>
  <si>
    <t xml:space="preserve">RUN_CURRENT_TXWZS.command; blackstone expedition scene</t>
  </si>
  <si>
    <t xml:space="preserve">V4-G5 = VERIFIED</t>
  </si>
  <si>
    <t xml:space="preserve">用户验收记录</t>
  </si>
  <si>
    <r>
      <rPr>
        <sz val="9"/>
        <color rgb="FF24323D"/>
        <rFont val="Hiragino Sans GB"/>
        <family val="0"/>
        <charset val="1"/>
      </rPr>
      <t xml:space="preserve">V4-G5 =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V4-P5-T001 </t>
    </r>
    <r>
      <rPr>
        <sz val="9"/>
        <color rgb="FF24323D"/>
        <rFont val="Linux Libertine G"/>
        <family val="2"/>
      </rPr>
      <t xml:space="preserve">已解除 </t>
    </r>
    <r>
      <rPr>
        <sz val="9"/>
        <color rgb="FF24323D"/>
        <rFont val="Hiragino Sans GB"/>
        <family val="0"/>
        <charset val="1"/>
      </rPr>
      <t xml:space="preserve">HOLD</t>
    </r>
  </si>
  <si>
    <r>
      <rPr>
        <sz val="9"/>
        <color rgb="FF24323D"/>
        <rFont val="Hiragino Sans GB"/>
        <family val="0"/>
        <charset val="1"/>
      </rPr>
      <t xml:space="preserve">V4-G5 </t>
    </r>
    <r>
      <rPr>
        <sz val="9"/>
        <color rgb="FF24323D"/>
        <rFont val="Linux Libertine G"/>
        <family val="2"/>
      </rPr>
      <t xml:space="preserve">已验证后，用户明确接受主链路，不存在阻断级交互。</t>
    </r>
  </si>
  <si>
    <t xml:space="preserve">实体窗口</t>
  </si>
  <si>
    <t xml:space="preserve">T-V4-003</t>
  </si>
  <si>
    <r>
      <rPr>
        <sz val="9"/>
        <color rgb="FF24323D"/>
        <rFont val="Linux Libertine G"/>
        <family val="2"/>
      </rPr>
      <t xml:space="preserve">保留 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前 </t>
    </r>
    <r>
      <rPr>
        <sz val="9"/>
        <color rgb="FF24323D"/>
        <rFont val="Hiragino Sans GB"/>
        <family val="0"/>
        <charset val="1"/>
      </rPr>
      <t xml:space="preserve">patch</t>
    </r>
  </si>
  <si>
    <t xml:space="preserve">用户反馈阻断或版本身份不明。</t>
  </si>
  <si>
    <t xml:space="preserve">User</t>
  </si>
  <si>
    <r>
      <rPr>
        <sz val="9"/>
        <color rgb="FF24323D"/>
        <rFont val="Linux Libertine G"/>
        <family val="2"/>
      </rPr>
      <t xml:space="preserve">用户明确接受 </t>
    </r>
    <r>
      <rPr>
        <sz val="9"/>
        <color rgb="FF24323D"/>
        <rFont val="Hiragino Sans GB"/>
        <family val="0"/>
        <charset val="1"/>
      </rPr>
      <t xml:space="preserve">Review 002 </t>
    </r>
    <r>
      <rPr>
        <sz val="9"/>
        <color rgb="FF24323D"/>
        <rFont val="Linux Libertine G"/>
        <family val="2"/>
      </rPr>
      <t xml:space="preserve">并授权按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整体里程碑完成最终 </t>
    </r>
    <r>
      <rPr>
        <sz val="9"/>
        <color rgb="FF24323D"/>
        <rFont val="Hiragino Sans GB"/>
        <family val="0"/>
        <charset val="1"/>
      </rPr>
      <t xml:space="preserve">Gate</t>
    </r>
    <r>
      <rPr>
        <sz val="9"/>
        <color rgb="FF24323D"/>
        <rFont val="Linux Libertine G"/>
        <family val="2"/>
      </rPr>
      <t xml:space="preserve">；正式入口身份与八态 </t>
    </r>
    <r>
      <rPr>
        <sz val="9"/>
        <color rgb="FF24323D"/>
        <rFont val="Hiragino Sans GB"/>
        <family val="0"/>
        <charset val="1"/>
      </rPr>
      <t xml:space="preserve">1152×648 </t>
    </r>
    <r>
      <rPr>
        <sz val="9"/>
        <color rgb="FF24323D"/>
        <rFont val="Linux Libertine G"/>
        <family val="2"/>
      </rPr>
      <t xml:space="preserve">运行证据通过。</t>
    </r>
  </si>
  <si>
    <t xml:space="preserve">V4-G6</t>
  </si>
  <si>
    <t xml:space="preserve">V4-P6-T002</t>
  </si>
  <si>
    <r>
      <rPr>
        <sz val="9"/>
        <color rgb="FF24323D"/>
        <rFont val="Hiragino Sans GB"/>
        <family val="0"/>
        <charset val="1"/>
      </rPr>
      <t xml:space="preserve">P6 </t>
    </r>
    <r>
      <rPr>
        <sz val="9"/>
        <color rgb="FF24323D"/>
        <rFont val="Linux Libertine G"/>
        <family val="2"/>
      </rPr>
      <t xml:space="preserve">冻结</t>
    </r>
  </si>
  <si>
    <r>
      <rPr>
        <sz val="9"/>
        <color rgb="FF24323D"/>
        <rFont val="Linux Libertine G"/>
        <family val="2"/>
      </rPr>
      <t xml:space="preserve">形成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可回滚原子基线</t>
    </r>
  </si>
  <si>
    <t xml:space="preserve">Closeout</t>
  </si>
  <si>
    <r>
      <rPr>
        <sz val="9"/>
        <color rgb="FF24323D"/>
        <rFont val="Linux Libertine G"/>
        <family val="2"/>
      </rPr>
      <t xml:space="preserve">仅提交已验收的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三文件和必要状态文档。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</si>
  <si>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不能在大 </t>
    </r>
    <r>
      <rPr>
        <sz val="9"/>
        <color rgb="FF24323D"/>
        <rFont val="Hiragino Sans GB"/>
        <family val="0"/>
        <charset val="1"/>
      </rPr>
      <t xml:space="preserve">dirty diff </t>
    </r>
    <r>
      <rPr>
        <sz val="9"/>
        <color rgb="FF24323D"/>
        <rFont val="Linux Libertine G"/>
        <family val="2"/>
      </rPr>
      <t xml:space="preserve">上开工。</t>
    </r>
  </si>
  <si>
    <r>
      <rPr>
        <sz val="9"/>
        <color rgb="FF24323D"/>
        <rFont val="Hiragino Sans GB"/>
        <family val="0"/>
        <charset val="1"/>
      </rPr>
      <t xml:space="preserve">diff </t>
    </r>
    <r>
      <rPr>
        <sz val="9"/>
        <color rgb="FF24323D"/>
        <rFont val="Linux Libertine G"/>
        <family val="2"/>
      </rPr>
      <t xml:space="preserve">审查、原子提交、</t>
    </r>
    <r>
      <rPr>
        <sz val="9"/>
        <color rgb="FF24323D"/>
        <rFont val="Hiragino Sans GB"/>
        <family val="0"/>
        <charset val="1"/>
      </rPr>
      <t xml:space="preserve">clean </t>
    </r>
    <r>
      <rPr>
        <sz val="9"/>
        <color rgb="FF24323D"/>
        <rFont val="Linux Libertine G"/>
        <family val="2"/>
      </rPr>
      <t xml:space="preserve">状态、保护文件排除。</t>
    </r>
  </si>
  <si>
    <r>
      <rPr>
        <sz val="9"/>
        <color rgb="FF24323D"/>
        <rFont val="Linux Libertine G"/>
        <family val="2"/>
      </rPr>
      <t xml:space="preserve">不 </t>
    </r>
    <r>
      <rPr>
        <sz val="9"/>
        <color rgb="FF24323D"/>
        <rFont val="Hiragino Sans GB"/>
        <family val="0"/>
        <charset val="1"/>
      </rPr>
      <t xml:space="preserve">push</t>
    </r>
    <r>
      <rPr>
        <sz val="9"/>
        <color rgb="FF24323D"/>
        <rFont val="Linux Libertine G"/>
        <family val="2"/>
      </rPr>
      <t xml:space="preserve">；不提交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</si>
  <si>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t xml:space="preserve">V4 files; CURRENT_STATE if authorized</t>
  </si>
  <si>
    <t xml:space="preserve">用户验收</t>
  </si>
  <si>
    <t xml:space="preserve">V4 freeze commit</t>
  </si>
  <si>
    <r>
      <rPr>
        <sz val="9"/>
        <color rgb="FF24323D"/>
        <rFont val="Hiragino Sans GB"/>
        <family val="0"/>
        <charset val="1"/>
      </rPr>
      <t xml:space="preserve">V4-G5 =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V4-P6-T001 </t>
    </r>
    <r>
      <rPr>
        <sz val="9"/>
        <color rgb="FF24323D"/>
        <rFont val="Linux Libertine G"/>
        <family val="2"/>
      </rPr>
      <t xml:space="preserve">用户实体复测通过</t>
    </r>
  </si>
  <si>
    <r>
      <rPr>
        <sz val="9"/>
        <color rgb="FF24323D"/>
        <rFont val="Linux Libertine G"/>
        <family val="2"/>
      </rPr>
      <t xml:space="preserve">提交范围准确、工作区除受保护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外无 </t>
    </r>
    <r>
      <rPr>
        <sz val="9"/>
        <color rgb="FF24323D"/>
        <rFont val="Hiragino Sans GB"/>
        <family val="0"/>
        <charset val="1"/>
      </rPr>
      <t xml:space="preserve">V4 dirty</t>
    </r>
    <r>
      <rPr>
        <sz val="9"/>
        <color rgb="FF24323D"/>
        <rFont val="Linux Libertine G"/>
        <family val="2"/>
      </rPr>
      <t xml:space="preserve">。</t>
    </r>
  </si>
  <si>
    <t xml:space="preserve">git show/diff/check/status</t>
  </si>
  <si>
    <t xml:space="preserve">T-GIT-001</t>
  </si>
  <si>
    <r>
      <rPr>
        <sz val="9"/>
        <color rgb="FF24323D"/>
        <rFont val="Linux Libertine G"/>
        <family val="2"/>
      </rPr>
      <t xml:space="preserve">回退到前一 </t>
    </r>
    <r>
      <rPr>
        <sz val="9"/>
        <color rgb="FF24323D"/>
        <rFont val="Hiragino Sans GB"/>
        <family val="0"/>
        <charset val="1"/>
      </rPr>
      <t xml:space="preserve">commit</t>
    </r>
    <r>
      <rPr>
        <sz val="9"/>
        <color rgb="FF24323D"/>
        <rFont val="Linux Libertine G"/>
        <family val="2"/>
      </rPr>
      <t xml:space="preserve">（不改写历史）</t>
    </r>
  </si>
  <si>
    <t xml:space="preserve">无法精确区分文件或出现未知修改。</t>
  </si>
  <si>
    <t xml:space="preserve">Independent Codex spot-check</t>
  </si>
  <si>
    <t xml:space="preserve">MEDIUM</t>
  </si>
  <si>
    <r>
      <rPr>
        <sz val="9"/>
        <color rgb="FF24323D"/>
        <rFont val="Hiragino Sans GB"/>
        <family val="0"/>
        <charset val="1"/>
      </rPr>
      <t xml:space="preserve">V4/C0/</t>
    </r>
    <r>
      <rPr>
        <sz val="9"/>
        <color rgb="FF24323D"/>
        <rFont val="Linux Libertine G"/>
        <family val="2"/>
      </rPr>
      <t xml:space="preserve">规划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报告形成单一可回滚本地 </t>
    </r>
    <r>
      <rPr>
        <sz val="9"/>
        <color rgb="FF24323D"/>
        <rFont val="Hiragino Sans GB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；保护的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八文件排除；不 </t>
    </r>
    <r>
      <rPr>
        <sz val="9"/>
        <color rgb="FF24323D"/>
        <rFont val="Hiragino Sans GB"/>
        <family val="0"/>
        <charset val="1"/>
      </rPr>
      <t xml:space="preserve">push</t>
    </r>
    <r>
      <rPr>
        <sz val="9"/>
        <color rgb="FF24323D"/>
        <rFont val="Linux Libertine G"/>
        <family val="2"/>
      </rPr>
      <t xml:space="preserve">、不部署。</t>
    </r>
  </si>
  <si>
    <t xml:space="preserve">PLAN-REPAIR-002</t>
  </si>
  <si>
    <t xml:space="preserve">PLAN</t>
  </si>
  <si>
    <t xml:space="preserve">规划控制修复</t>
  </si>
  <si>
    <r>
      <rPr>
        <sz val="9"/>
        <color rgb="FF24323D"/>
        <rFont val="Linux Libertine G"/>
        <family val="2"/>
      </rPr>
      <t xml:space="preserve">修复 </t>
    </r>
    <r>
      <rPr>
        <sz val="9"/>
        <color rgb="FF24323D"/>
        <rFont val="Hiragino Sans GB"/>
        <family val="0"/>
        <charset val="1"/>
      </rPr>
      <t xml:space="preserve">Gate</t>
    </r>
    <r>
      <rPr>
        <sz val="9"/>
        <color rgb="FF24323D"/>
        <rFont val="Linux Libertine G"/>
        <family val="2"/>
      </rPr>
      <t xml:space="preserve">、映射、字体与复查绑定</t>
    </r>
  </si>
  <si>
    <t xml:space="preserve">Planning</t>
  </si>
  <si>
    <r>
      <rPr>
        <sz val="9"/>
        <color rgb="FF24323D"/>
        <rFont val="Linux Libertine G"/>
        <family val="2"/>
      </rPr>
      <t xml:space="preserve">让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只引用真实 </t>
    </r>
    <r>
      <rPr>
        <sz val="9"/>
        <color rgb="FF24323D"/>
        <rFont val="Hiragino Sans GB"/>
        <family val="0"/>
        <charset val="1"/>
      </rPr>
      <t xml:space="preserve">Task/Test ID</t>
    </r>
    <r>
      <rPr>
        <sz val="9"/>
        <color rgb="FF24323D"/>
        <rFont val="Linux Libertine G"/>
        <family val="2"/>
      </rPr>
      <t xml:space="preserve">，消除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冻结循环，并统一中文字体。</t>
    </r>
  </si>
  <si>
    <r>
      <rPr>
        <sz val="9"/>
        <color rgb="FF24323D"/>
        <rFont val="Hiragino Sans GB"/>
        <family val="0"/>
        <charset val="1"/>
      </rPr>
      <t xml:space="preserve">ChatGPT </t>
    </r>
    <r>
      <rPr>
        <sz val="9"/>
        <color rgb="FF24323D"/>
        <rFont val="Linux Libertine G"/>
        <family val="2"/>
      </rPr>
      <t xml:space="preserve">对 </t>
    </r>
    <r>
      <rPr>
        <sz val="9"/>
        <color rgb="FF24323D"/>
        <rFont val="Hiragino Sans GB"/>
        <family val="0"/>
        <charset val="1"/>
      </rPr>
      <t xml:space="preserve">PLAN-REPAIR-001 </t>
    </r>
    <r>
      <rPr>
        <sz val="9"/>
        <color rgb="FF24323D"/>
        <rFont val="Linux Libertine G"/>
        <family val="2"/>
      </rPr>
      <t xml:space="preserve">的附件复核发现五项控制缺口。</t>
    </r>
  </si>
  <si>
    <r>
      <rPr>
        <sz val="9"/>
        <color rgb="FF24323D"/>
        <rFont val="Linux Libertine G"/>
        <family val="2"/>
      </rPr>
      <t xml:space="preserve">工作簿、</t>
    </r>
    <r>
      <rPr>
        <sz val="9"/>
        <color rgb="FF24323D"/>
        <rFont val="Hiragino Sans GB"/>
        <family val="0"/>
        <charset val="1"/>
      </rPr>
      <t xml:space="preserve">Markdown</t>
    </r>
    <r>
      <rPr>
        <sz val="9"/>
        <color rgb="FF24323D"/>
        <rFont val="Linux Libertine G"/>
        <family val="2"/>
      </rPr>
      <t xml:space="preserve">、五份 </t>
    </r>
    <r>
      <rPr>
        <sz val="9"/>
        <color rgb="FF24323D"/>
        <rFont val="Hiragino Sans GB"/>
        <family val="0"/>
        <charset val="1"/>
      </rPr>
      <t xml:space="preserve">CSV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ZIP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REVIEW_003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</si>
  <si>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不执行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；不开始 </t>
    </r>
    <r>
      <rPr>
        <sz val="9"/>
        <color rgb="FF24323D"/>
        <rFont val="Hiragino Sans GB"/>
        <family val="0"/>
        <charset val="1"/>
      </rPr>
      <t xml:space="preserve">V5</t>
    </r>
    <r>
      <rPr>
        <sz val="9"/>
        <color rgb="FF24323D"/>
        <rFont val="Linux Libertine G"/>
        <family val="2"/>
      </rPr>
      <t xml:space="preserve">；不修改游戏代码或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</si>
  <si>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t xml:space="preserve">docs/planning/*; docs/reviews/TXWZS_MASTER_PLAN_REVIEW_003.md</t>
  </si>
  <si>
    <t xml:space="preserve">NEEDS_PLAN_REPAIR_002 findings</t>
  </si>
  <si>
    <t xml:space="preserve">可独立审计的规划控制包与最终哈希</t>
  </si>
  <si>
    <r>
      <rPr>
        <sz val="9"/>
        <color rgb="FF24323D"/>
        <rFont val="Hiragino Sans GB"/>
        <family val="0"/>
        <charset val="1"/>
      </rPr>
      <t xml:space="preserve">PLAN-REPAIR-001 </t>
    </r>
    <r>
      <rPr>
        <sz val="9"/>
        <color rgb="FF24323D"/>
        <rFont val="Linux Libertine G"/>
        <family val="2"/>
      </rPr>
      <t xml:space="preserve">产物与五项 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已核对</t>
    </r>
  </si>
  <si>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无循环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悬空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范围简写；规划需求不挂游戏任务；全部使用区域采用中文字体。</t>
    </r>
  </si>
  <si>
    <r>
      <rPr>
        <sz val="9"/>
        <color rgb="FF24323D"/>
        <rFont val="Linux Libertine G"/>
        <family val="2"/>
      </rPr>
      <t xml:space="preserve">规划审计 </t>
    </r>
    <r>
      <rPr>
        <sz val="9"/>
        <color rgb="FF24323D"/>
        <rFont val="Hiragino Sans GB"/>
        <family val="0"/>
        <charset val="1"/>
      </rPr>
      <t xml:space="preserve">+ LibreOffice </t>
    </r>
    <r>
      <rPr>
        <sz val="9"/>
        <color rgb="FF24323D"/>
        <rFont val="Linux Libertine G"/>
        <family val="2"/>
      </rPr>
      <t xml:space="preserve">重算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全表渲染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独立复查</t>
    </r>
  </si>
  <si>
    <t xml:space="preserve">T-PLAN-001,T-PLAN-GATE-001,T-PLAN-FONT-001</t>
  </si>
  <si>
    <r>
      <rPr>
        <sz val="9"/>
        <color rgb="FF24323D"/>
        <rFont val="Linux Libertine G"/>
        <family val="2"/>
      </rPr>
      <t xml:space="preserve">恢复 </t>
    </r>
    <r>
      <rPr>
        <sz val="9"/>
        <color rgb="FF24323D"/>
        <rFont val="Hiragino Sans GB"/>
        <family val="0"/>
        <charset val="1"/>
      </rPr>
      <t xml:space="preserve">PLAN-REPAIR-002 </t>
    </r>
    <r>
      <rPr>
        <sz val="9"/>
        <color rgb="FF24323D"/>
        <rFont val="Linux Libertine G"/>
        <family val="2"/>
      </rPr>
      <t xml:space="preserve">开工备份中的 </t>
    </r>
    <r>
      <rPr>
        <sz val="9"/>
        <color rgb="FF24323D"/>
        <rFont val="Hiragino Sans GB"/>
        <family val="0"/>
        <charset val="1"/>
      </rPr>
      <t xml:space="preserve">planning/reviews </t>
    </r>
    <r>
      <rPr>
        <sz val="9"/>
        <color rgb="FF24323D"/>
        <rFont val="Linux Libertine G"/>
        <family val="2"/>
      </rPr>
      <t xml:space="preserve">目录</t>
    </r>
  </si>
  <si>
    <t xml:space="preserve">必须修改游戏代码；无法消除循环；中文字体真实渲染失败。</t>
  </si>
  <si>
    <r>
      <rPr>
        <sz val="9"/>
        <color rgb="FF24323D"/>
        <rFont val="Hiragino Sans GB"/>
        <family val="0"/>
        <charset val="1"/>
      </rPr>
      <t xml:space="preserve">docs/reviews/TXWZS_MASTER_PLAN_REVIEW_003.md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docs/reviews/TXWZS_MASTER_PLAN_STATE_SYNC_001.md</t>
    </r>
  </si>
  <si>
    <t xml:space="preserve">RVW-PLAN-003</t>
  </si>
  <si>
    <r>
      <rPr>
        <sz val="9"/>
        <color rgb="FF24323D"/>
        <rFont val="Linux Libertine G"/>
        <family val="2"/>
      </rPr>
      <t xml:space="preserve">本任务不属于 </t>
    </r>
    <r>
      <rPr>
        <sz val="9"/>
        <color rgb="FF24323D"/>
        <rFont val="Hiragino Sans GB"/>
        <family val="0"/>
        <charset val="1"/>
      </rPr>
      <t xml:space="preserve">V4/V5 </t>
    </r>
    <r>
      <rPr>
        <sz val="9"/>
        <color rgb="FF24323D"/>
        <rFont val="Linux Libertine G"/>
        <family val="2"/>
      </rPr>
      <t xml:space="preserve">产品实施阶段；</t>
    </r>
    <r>
      <rPr>
        <sz val="9"/>
        <color rgb="FF24323D"/>
        <rFont val="Hiragino Sans GB"/>
        <family val="0"/>
        <charset val="1"/>
      </rPr>
      <t xml:space="preserve">REVIEW_003 </t>
    </r>
    <r>
      <rPr>
        <sz val="9"/>
        <color rgb="FF24323D"/>
        <rFont val="Linux Libertine G"/>
        <family val="2"/>
      </rPr>
      <t xml:space="preserve">已由用户接受，</t>
    </r>
    <r>
      <rPr>
        <sz val="9"/>
        <color rgb="FF24323D"/>
        <rFont val="Hiragino Sans GB"/>
        <family val="0"/>
        <charset val="1"/>
      </rPr>
      <t xml:space="preserve">V4-P5-T001 </t>
    </r>
    <r>
      <rPr>
        <sz val="9"/>
        <color rgb="FF24323D"/>
        <rFont val="Linux Libertine G"/>
        <family val="2"/>
      </rPr>
      <t xml:space="preserve">已释放为唯一 </t>
    </r>
    <r>
      <rPr>
        <sz val="9"/>
        <color rgb="FF24323D"/>
        <rFont val="Hiragino Sans GB"/>
        <family val="0"/>
        <charset val="1"/>
      </rPr>
      <t xml:space="preserve">READY</t>
    </r>
    <r>
      <rPr>
        <sz val="9"/>
        <color rgb="FF24323D"/>
        <rFont val="Linux Libertine G"/>
        <family val="2"/>
      </rPr>
      <t xml:space="preserve">。</t>
    </r>
  </si>
  <si>
    <t xml:space="preserve">V5-P0-T001</t>
  </si>
  <si>
    <t xml:space="preserve">V5-P0</t>
  </si>
  <si>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基线与合同</t>
    </r>
  </si>
  <si>
    <r>
      <rPr>
        <sz val="9"/>
        <color rgb="FF24323D"/>
        <rFont val="Linux Libertine G"/>
        <family val="2"/>
      </rPr>
      <t xml:space="preserve">锁定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起始基线与保护范围</t>
    </r>
  </si>
  <si>
    <t xml:space="preserve">Investigation</t>
  </si>
  <si>
    <r>
      <rPr>
        <sz val="9"/>
        <color rgb="FF24323D"/>
        <rFont val="Linux Libertine G"/>
        <family val="2"/>
      </rPr>
      <t xml:space="preserve">重新核对 </t>
    </r>
    <r>
      <rPr>
        <sz val="9"/>
        <color rgb="FF24323D"/>
        <rFont val="Hiragino Sans GB"/>
        <family val="0"/>
        <charset val="1"/>
      </rPr>
      <t xml:space="preserve">V4 freeze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S1A.1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状态和全部状态写入者。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</si>
  <si>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只建立单兵种战争底座，复用现有城市与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，不创建第二套世界状态。</t>
    </r>
  </si>
  <si>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测试事实清单</t>
    </r>
  </si>
  <si>
    <r>
      <rPr>
        <sz val="9"/>
        <color rgb="FF24323D"/>
        <rFont val="Linux Libertine G"/>
        <family val="2"/>
      </rPr>
      <t xml:space="preserve">第二兵种、多军队并发、敌方 </t>
    </r>
    <r>
      <rPr>
        <sz val="9"/>
        <color rgb="FF24323D"/>
        <rFont val="Hiragino Sans GB"/>
        <family val="0"/>
        <charset val="1"/>
      </rPr>
      <t xml:space="preserve">AI</t>
    </r>
    <r>
      <rPr>
        <sz val="9"/>
        <color rgb="FF24323D"/>
        <rFont val="Linux Libertine G"/>
        <family val="2"/>
      </rPr>
      <t xml:space="preserve">、围城、正式美术与无用途通用框架。</t>
    </r>
  </si>
  <si>
    <t xml:space="preserve">按任务开始时仓库查重后登记；当前不预造文件名</t>
  </si>
  <si>
    <r>
      <rPr>
        <sz val="9"/>
        <color rgb="FF24323D"/>
        <rFont val="Hiragino Sans GB"/>
        <family val="0"/>
        <charset val="1"/>
      </rPr>
      <t xml:space="preserve">V4 freeze</t>
    </r>
    <r>
      <rPr>
        <sz val="9"/>
        <color rgb="FF24323D"/>
        <rFont val="Linux Libertine G"/>
        <family val="2"/>
      </rPr>
      <t xml:space="preserve">、现有 </t>
    </r>
    <r>
      <rPr>
        <sz val="9"/>
        <color rgb="FF24323D"/>
        <rFont val="Hiragino Sans GB"/>
        <family val="0"/>
        <charset val="1"/>
      </rPr>
      <t xml:space="preserve">ConstructionController / BattleSession / S1A.1 </t>
    </r>
    <r>
      <rPr>
        <sz val="9"/>
        <color rgb="FF24323D"/>
        <rFont val="Linux Libertine G"/>
        <family val="2"/>
      </rPr>
      <t xml:space="preserve">证据</t>
    </r>
  </si>
  <si>
    <r>
      <rPr>
        <sz val="9"/>
        <color rgb="FF24323D"/>
        <rFont val="Hiragino Sans GB"/>
        <family val="0"/>
        <charset val="1"/>
      </rPr>
      <t xml:space="preserve">G0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</si>
  <si>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测试事实清单；状态守恒、失败原子、可审计。</t>
    </r>
  </si>
  <si>
    <r>
      <rPr>
        <sz val="9"/>
        <color rgb="FF24323D"/>
        <rFont val="Linux Libertine G"/>
        <family val="2"/>
      </rPr>
      <t xml:space="preserve">自动测试 </t>
    </r>
    <r>
      <rPr>
        <sz val="9"/>
        <color rgb="FF24323D"/>
        <rFont val="Hiragino Sans GB"/>
        <family val="0"/>
        <charset val="1"/>
      </rPr>
      <t xml:space="preserve">/ diff / </t>
    </r>
    <r>
      <rPr>
        <sz val="9"/>
        <color rgb="FF24323D"/>
        <rFont val="Linux Libertine G"/>
        <family val="2"/>
      </rPr>
      <t xml:space="preserve">独立复查（按类型）</t>
    </r>
  </si>
  <si>
    <t xml:space="preserve">T-V5_P0_T001</t>
  </si>
  <si>
    <r>
      <rPr>
        <sz val="9"/>
        <color rgb="FF24323D"/>
        <rFont val="Linux Libertine G"/>
        <family val="2"/>
      </rPr>
      <t xml:space="preserve">回到上一工作包原子提交；保留 </t>
    </r>
    <r>
      <rPr>
        <sz val="9"/>
        <color rgb="FF24323D"/>
        <rFont val="Hiragino Sans GB"/>
        <family val="0"/>
        <charset val="1"/>
      </rPr>
      <t xml:space="preserve">patch </t>
    </r>
    <r>
      <rPr>
        <sz val="9"/>
        <color rgb="FF24323D"/>
        <rFont val="Linux Libertine G"/>
        <family val="2"/>
      </rPr>
      <t xml:space="preserve">和权威状态快照。</t>
    </r>
  </si>
  <si>
    <r>
      <rPr>
        <sz val="9"/>
        <color rgb="FF24323D"/>
        <rFont val="Linux Libertine G"/>
        <family val="2"/>
      </rPr>
      <t xml:space="preserve">需要第二套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、未授权 </t>
    </r>
    <r>
      <rPr>
        <sz val="9"/>
        <color rgb="FF24323D"/>
        <rFont val="Hiragino Sans GB"/>
        <family val="0"/>
        <charset val="1"/>
      </rPr>
      <t xml:space="preserve">schema </t>
    </r>
    <r>
      <rPr>
        <sz val="9"/>
        <color rgb="FF24323D"/>
        <rFont val="Linux Libertine G"/>
        <family val="2"/>
      </rPr>
      <t xml:space="preserve">迁移、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被混入、测试无法收敛。</t>
    </r>
  </si>
  <si>
    <t xml:space="preserve">Independent Codex at package gate</t>
  </si>
  <si>
    <r>
      <rPr>
        <sz val="9"/>
        <color rgb="FF24323D"/>
        <rFont val="Linux Libertine G"/>
        <family val="0"/>
        <charset val="1"/>
      </rPr>
      <t xml:space="preserve">docs/architecture/V5_SINGLE_UNIT_WAR_FOUNDATION_CONTRACT_V0.md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Linux Libertine G"/>
        <family val="0"/>
        <charset val="1"/>
      </rPr>
      <t xml:space="preserve">docs/reports/TXWZS_V5_SINGLE_UNIT_GARRISON_SLICE_001.md</t>
    </r>
  </si>
  <si>
    <r>
      <rPr>
        <sz val="9"/>
        <color rgb="FF24323D"/>
        <rFont val="Hiragino Sans GB"/>
        <family val="0"/>
        <charset val="1"/>
      </rPr>
      <t xml:space="preserve">V4 checkpoint 5357c28 </t>
    </r>
    <r>
      <rPr>
        <sz val="9"/>
        <color rgb="FF24323D"/>
        <rFont val="Linux Libertine G"/>
        <family val="2"/>
      </rPr>
      <t xml:space="preserve">后完成；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仍受保护且未纳入；等待 </t>
    </r>
    <r>
      <rPr>
        <sz val="9"/>
        <color rgb="FF24323D"/>
        <rFont val="Hiragino Sans GB"/>
        <family val="0"/>
        <charset val="1"/>
      </rPr>
      <t xml:space="preserve">V5 P0/P1 package review</t>
    </r>
    <r>
      <rPr>
        <sz val="9"/>
        <color rgb="FF24323D"/>
        <rFont val="Linux Libertine G"/>
        <family val="2"/>
      </rPr>
      <t xml:space="preserve">。</t>
    </r>
  </si>
  <si>
    <t xml:space="preserve">V5-G0</t>
  </si>
  <si>
    <t xml:space="preserve">V5-P0-T002</t>
  </si>
  <si>
    <t xml:space="preserve">绘制城市—驻军—训练—军队—战果所有权图</t>
  </si>
  <si>
    <t xml:space="preserve">Architecture</t>
  </si>
  <si>
    <t xml:space="preserve">为每个可写字段确定唯一写入者和生命周期。</t>
  </si>
  <si>
    <t xml:space="preserve">所有权表与禁止写入路径</t>
  </si>
  <si>
    <r>
      <rPr>
        <sz val="9"/>
        <color rgb="FF24323D"/>
        <rFont val="Hiragino Sans GB"/>
        <family val="0"/>
        <charset val="1"/>
      </rPr>
      <t xml:space="preserve">G1 </t>
    </r>
    <r>
      <rPr>
        <sz val="9"/>
        <color rgb="FF24323D"/>
        <rFont val="Linux Libertine G"/>
        <family val="2"/>
      </rPr>
      <t xml:space="preserve">前置条件满足</t>
    </r>
  </si>
  <si>
    <t xml:space="preserve">所有权表与禁止写入路径；状态守恒、失败原子、可审计。</t>
  </si>
  <si>
    <t xml:space="preserve">T-V5_P0_T002</t>
  </si>
  <si>
    <t xml:space="preserve">Independent Codex / User gate</t>
  </si>
  <si>
    <t xml:space="preserve">CRITICAL</t>
  </si>
  <si>
    <r>
      <rPr>
        <sz val="9"/>
        <color rgb="FF24323D"/>
        <rFont val="Linux Libertine G"/>
        <family val="0"/>
        <charset val="1"/>
      </rPr>
      <t xml:space="preserve">V4 checkpoint 5357c28 </t>
    </r>
    <r>
      <rPr>
        <sz val="9"/>
        <color rgb="FF24323D"/>
        <rFont val="Linux Libertine G"/>
        <family val="2"/>
      </rPr>
      <t xml:space="preserve">后完成；</t>
    </r>
    <r>
      <rPr>
        <sz val="9"/>
        <color rgb="FF24323D"/>
        <rFont val="Linux Libertine G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仍受保护且未纳入；等待 </t>
    </r>
    <r>
      <rPr>
        <sz val="9"/>
        <color rgb="FF24323D"/>
        <rFont val="Linux Libertine G"/>
        <family val="0"/>
        <charset val="1"/>
      </rPr>
      <t xml:space="preserve">V5 P0/P1 package review</t>
    </r>
    <r>
      <rPr>
        <sz val="9"/>
        <color rgb="FF24323D"/>
        <rFont val="Linux Libertine G"/>
        <family val="2"/>
      </rPr>
      <t xml:space="preserve">。</t>
    </r>
  </si>
  <si>
    <t xml:space="preserve">V5-G1</t>
  </si>
  <si>
    <t xml:space="preserve">V5-P0-T003</t>
  </si>
  <si>
    <r>
      <rPr>
        <sz val="9"/>
        <color rgb="FF24323D"/>
        <rFont val="Linux Libertine G"/>
        <family val="2"/>
      </rPr>
      <t xml:space="preserve">定义单兵种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数据合同</t>
    </r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</si>
  <si>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UnitDefinition </t>
    </r>
    <r>
      <rPr>
        <sz val="9"/>
        <color rgb="FF24323D"/>
        <rFont val="Linux Libertine G"/>
        <family val="2"/>
      </rPr>
      <t xml:space="preserve">兼容现有 </t>
    </r>
    <r>
      <rPr>
        <sz val="9"/>
        <color rgb="FF24323D"/>
        <rFont val="Hiragino Sans GB"/>
        <family val="0"/>
        <charset val="1"/>
      </rPr>
      <t xml:space="preserve">UnitRole </t>
    </r>
    <r>
      <rPr>
        <sz val="9"/>
        <color rgb="FF24323D"/>
        <rFont val="Linux Libertine G"/>
        <family val="2"/>
      </rPr>
      <t xml:space="preserve">的升级路径，不先增加第二兵种。</t>
    </r>
  </si>
  <si>
    <r>
      <rPr>
        <sz val="9"/>
        <color rgb="FF24323D"/>
        <rFont val="Linux Libertine G"/>
        <family val="2"/>
      </rPr>
      <t xml:space="preserve">字段合同、稳定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、扩展边界</t>
    </r>
  </si>
  <si>
    <r>
      <rPr>
        <sz val="9"/>
        <color rgb="FF24323D"/>
        <rFont val="Linux Libertine G"/>
        <family val="2"/>
      </rPr>
      <t xml:space="preserve">字段合同、稳定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、扩展边界；状态守恒、失败原子、可审计。</t>
    </r>
  </si>
  <si>
    <t xml:space="preserve">T-V5_P0_T003</t>
  </si>
  <si>
    <t xml:space="preserve">V5-P0-T004</t>
  </si>
  <si>
    <t xml:space="preserve">定义本城驻军与可派兵力合同</t>
  </si>
  <si>
    <t xml:space="preserve">区分城市总兵力、驻军、预留、在途和战后幸存。</t>
  </si>
  <si>
    <t xml:space="preserve">守恒式、合法转换、失败路径</t>
  </si>
  <si>
    <t xml:space="preserve">守恒式、合法转换、失败路径；状态守恒、失败原子、可审计。</t>
  </si>
  <si>
    <t xml:space="preserve">T-V5_P0_T004</t>
  </si>
  <si>
    <t xml:space="preserve">V5-P0-T005</t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</si>
  <si>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回滚包和停止条件</t>
    </r>
  </si>
  <si>
    <r>
      <rPr>
        <sz val="9"/>
        <color rgb="FF24323D"/>
        <rFont val="Linux Libertine G"/>
        <family val="2"/>
      </rPr>
      <t xml:space="preserve">保证每个工作包可独立回退，不吸收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</si>
  <si>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Hiragino Sans GB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、文件范围</t>
    </r>
  </si>
  <si>
    <r>
      <rPr>
        <sz val="9"/>
        <color rgb="FF24323D"/>
        <rFont val="Hiragino Sans GB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、文件范围；状态守恒、失败原子、可审计。</t>
    </r>
  </si>
  <si>
    <t xml:space="preserve">T-V5_P0_T005</t>
  </si>
  <si>
    <t xml:space="preserve">P1</t>
  </si>
  <si>
    <t xml:space="preserve">V5-P1-T001</t>
  </si>
  <si>
    <t xml:space="preserve">V5-P1</t>
  </si>
  <si>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单兵种与驻军</t>
    </r>
  </si>
  <si>
    <t xml:space="preserve">建立静态步兵定义适配</t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</si>
  <si>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UnitRole </t>
    </r>
    <r>
      <rPr>
        <sz val="9"/>
        <color rgb="FF24323D"/>
        <rFont val="Linux Libertine G"/>
        <family val="2"/>
      </rPr>
      <t xml:space="preserve">或窄适配，不复制战斗数值。</t>
    </r>
  </si>
  <si>
    <r>
      <rPr>
        <sz val="9"/>
        <color rgb="FF24323D"/>
        <rFont val="Linux Libertine G"/>
        <family val="2"/>
      </rPr>
      <t xml:space="preserve">单兵种稳定 </t>
    </r>
    <r>
      <rPr>
        <sz val="9"/>
        <color rgb="FF24323D"/>
        <rFont val="Hiragino Sans GB"/>
        <family val="0"/>
        <charset val="1"/>
      </rPr>
      <t xml:space="preserve">definition ID </t>
    </r>
    <r>
      <rPr>
        <sz val="9"/>
        <color rgb="FF24323D"/>
        <rFont val="Linux Libertine G"/>
        <family val="2"/>
      </rPr>
      <t xml:space="preserve">与查询 </t>
    </r>
    <r>
      <rPr>
        <sz val="9"/>
        <color rgb="FF24323D"/>
        <rFont val="Hiragino Sans GB"/>
        <family val="0"/>
        <charset val="1"/>
      </rPr>
      <t xml:space="preserve">API</t>
    </r>
  </si>
  <si>
    <r>
      <rPr>
        <sz val="9"/>
        <color rgb="FF24323D"/>
        <rFont val="Hiragino Sans GB"/>
        <family val="0"/>
        <charset val="1"/>
      </rPr>
      <t xml:space="preserve">G2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</si>
  <si>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Linux Libertine G"/>
        <family val="2"/>
      </rPr>
      <t xml:space="preserve">单兵种稳定 </t>
    </r>
    <r>
      <rPr>
        <sz val="9"/>
        <color rgb="FF24323D"/>
        <rFont val="Hiragino Sans GB"/>
        <family val="0"/>
        <charset val="1"/>
      </rPr>
      <t xml:space="preserve">definition ID </t>
    </r>
    <r>
      <rPr>
        <sz val="9"/>
        <color rgb="FF24323D"/>
        <rFont val="Linux Libertine G"/>
        <family val="2"/>
      </rPr>
      <t xml:space="preserve">与查询 </t>
    </r>
    <r>
      <rPr>
        <sz val="9"/>
        <color rgb="FF24323D"/>
        <rFont val="Hiragino Sans GB"/>
        <family val="0"/>
        <charset val="1"/>
      </rPr>
      <t xml:space="preserve">API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</si>
  <si>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T-V5_P1_T001</t>
  </si>
  <si>
    <t xml:space="preserve">docs/reports/TXWZS_V5_SINGLE_UNIT_GARRISON_SLICE_001.md</t>
  </si>
  <si>
    <r>
      <rPr>
        <sz val="9"/>
        <color rgb="FF24323D"/>
        <rFont val="Linux Libertine G"/>
        <family val="2"/>
      </rPr>
      <t xml:space="preserve">单 </t>
    </r>
    <r>
      <rPr>
        <sz val="9"/>
        <color rgb="FF24323D"/>
        <rFont val="Linux Libertine G"/>
        <family val="0"/>
        <charset val="1"/>
      </rPr>
      <t xml:space="preserve">UnitRole</t>
    </r>
    <r>
      <rPr>
        <sz val="9"/>
        <color rgb="FF24323D"/>
        <rFont val="Linux Libertine G"/>
        <family val="2"/>
      </rPr>
      <t xml:space="preserve">、私有 </t>
    </r>
    <r>
      <rPr>
        <sz val="9"/>
        <color rgb="FF24323D"/>
        <rFont val="Linux Libertine G"/>
        <family val="0"/>
        <charset val="1"/>
      </rPr>
      <t xml:space="preserve">GarrisonState</t>
    </r>
    <r>
      <rPr>
        <sz val="9"/>
        <color rgb="FF24323D"/>
        <rFont val="Linux Libertine G"/>
        <family val="2"/>
      </rPr>
      <t xml:space="preserve">、兼容 </t>
    </r>
    <r>
      <rPr>
        <sz val="9"/>
        <color rgb="FF24323D"/>
        <rFont val="Linux Libertine G"/>
        <family val="0"/>
        <charset val="1"/>
      </rPr>
      <t xml:space="preserve">infantry_count</t>
    </r>
    <r>
      <rPr>
        <sz val="9"/>
        <color rgb="FF24323D"/>
        <rFont val="Linux Libertine G"/>
        <family val="2"/>
      </rPr>
      <t xml:space="preserve">、驻军</t>
    </r>
    <r>
      <rPr>
        <sz val="9"/>
        <color rgb="FF24323D"/>
        <rFont val="Linux Libertine G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可派 </t>
    </r>
    <r>
      <rPr>
        <sz val="9"/>
        <color rgb="FF24323D"/>
        <rFont val="Linux Libertine G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与专项 </t>
    </r>
    <r>
      <rPr>
        <sz val="9"/>
        <color rgb="FF24323D"/>
        <rFont val="Linux Libertine G"/>
        <family val="0"/>
        <charset val="1"/>
      </rPr>
      <t xml:space="preserve">runner </t>
    </r>
    <r>
      <rPr>
        <sz val="9"/>
        <color rgb="FF24323D"/>
        <rFont val="Linux Libertine G"/>
        <family val="2"/>
      </rPr>
      <t xml:space="preserve">已实现；等待 </t>
    </r>
    <r>
      <rPr>
        <sz val="9"/>
        <color rgb="FF24323D"/>
        <rFont val="Linux Libertine G"/>
        <family val="0"/>
        <charset val="1"/>
      </rPr>
      <t xml:space="preserve">package review</t>
    </r>
    <r>
      <rPr>
        <sz val="9"/>
        <color rgb="FF24323D"/>
        <rFont val="Linux Libertine G"/>
        <family val="2"/>
      </rPr>
      <t xml:space="preserve">。</t>
    </r>
  </si>
  <si>
    <t xml:space="preserve">V5-G2</t>
  </si>
  <si>
    <t xml:space="preserve">V5-P1-T002</t>
  </si>
  <si>
    <t xml:space="preserve">建立本城驻军源状态</t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</si>
  <si>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infantry_count </t>
    </r>
    <r>
      <rPr>
        <sz val="9"/>
        <color rgb="FF24323D"/>
        <rFont val="Linux Libertine G"/>
        <family val="2"/>
      </rPr>
      <t xml:space="preserve">迁移到可扩展但最小的驻军结构。</t>
    </r>
  </si>
  <si>
    <t xml:space="preserve">驻军源字段与兼容读取</t>
  </si>
  <si>
    <t xml:space="preserve">V5-P0-T004,V5-P1-T001</t>
  </si>
  <si>
    <t xml:space="preserve">驻军源字段与兼容读取；状态守恒、失败原子、可审计。</t>
  </si>
  <si>
    <t xml:space="preserve">T-V5_P1_T002</t>
  </si>
  <si>
    <t xml:space="preserve">V5-P1-T003</t>
  </si>
  <si>
    <t xml:space="preserve">定义兵源／人口边界</t>
  </si>
  <si>
    <r>
      <rPr>
        <sz val="9"/>
        <color rgb="FF24323D"/>
        <rFont val="Linux Libertine G"/>
        <family val="2"/>
      </rPr>
      <t xml:space="preserve">明确训练消耗的兵源来源；未有真实人口时标记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临时合同。</t>
    </r>
  </si>
  <si>
    <t xml:space="preserve">可验证兵源规则，不伪造完整人口系统</t>
  </si>
  <si>
    <t xml:space="preserve">可验证兵源规则，不伪造完整人口系统；状态守恒、失败原子、可审计。</t>
  </si>
  <si>
    <t xml:space="preserve">T-V5_P1_T003</t>
  </si>
  <si>
    <t xml:space="preserve">V5-G1,V5-G2</t>
  </si>
  <si>
    <t xml:space="preserve">V5-P1-T004</t>
  </si>
  <si>
    <t xml:space="preserve">实现驻军容量与可派上限查询</t>
  </si>
  <si>
    <t xml:space="preserve">把招募上限、供养与已预留兵力纳入同一查询。</t>
  </si>
  <si>
    <r>
      <rPr>
        <sz val="9"/>
        <color rgb="FF24323D"/>
        <rFont val="Linux Libertine G"/>
        <family val="2"/>
      </rPr>
      <t xml:space="preserve">无负数、无复制的可派兵力 </t>
    </r>
    <r>
      <rPr>
        <sz val="9"/>
        <color rgb="FF24323D"/>
        <rFont val="Hiragino Sans GB"/>
        <family val="0"/>
        <charset val="1"/>
      </rPr>
      <t xml:space="preserve">API</t>
    </r>
  </si>
  <si>
    <t xml:space="preserve">V5-P1-T002,V5-P1-T003</t>
  </si>
  <si>
    <r>
      <rPr>
        <sz val="9"/>
        <color rgb="FF24323D"/>
        <rFont val="Linux Libertine G"/>
        <family val="2"/>
      </rPr>
      <t xml:space="preserve">无负数、无复制的可派兵力 </t>
    </r>
    <r>
      <rPr>
        <sz val="9"/>
        <color rgb="FF24323D"/>
        <rFont val="Hiragino Sans GB"/>
        <family val="0"/>
        <charset val="1"/>
      </rPr>
      <t xml:space="preserve">API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</si>
  <si>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T-V5_P1_T004</t>
  </si>
  <si>
    <t xml:space="preserve">V5-P1-T005</t>
  </si>
  <si>
    <t xml:space="preserve">实现驻军状态合同测试</t>
  </si>
  <si>
    <t xml:space="preserve">Test</t>
  </si>
  <si>
    <t xml:space="preserve">覆盖增加、预留、释放、扣损、返回、容量。</t>
  </si>
  <si>
    <r>
      <rPr>
        <sz val="9"/>
        <color rgb="FF24323D"/>
        <rFont val="Linux Libertine G"/>
        <family val="2"/>
      </rPr>
      <t xml:space="preserve">确定性合同 </t>
    </r>
    <r>
      <rPr>
        <sz val="9"/>
        <color rgb="FF24323D"/>
        <rFont val="Hiragino Sans GB"/>
        <family val="0"/>
        <charset val="1"/>
      </rPr>
      <t xml:space="preserve">runner</t>
    </r>
  </si>
  <si>
    <t xml:space="preserve">V5-P1-T002,V5-P1-T004</t>
  </si>
  <si>
    <r>
      <rPr>
        <sz val="9"/>
        <color rgb="FF24323D"/>
        <rFont val="Linux Libertine G"/>
        <family val="2"/>
      </rPr>
      <t xml:space="preserve">确定性合同 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</si>
  <si>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T-V5_P1_T005</t>
  </si>
  <si>
    <t xml:space="preserve">V5-P1-T006</t>
  </si>
  <si>
    <t xml:space="preserve">兼容现有战斗兵力读取</t>
  </si>
  <si>
    <t xml:space="preserve">Adapter</t>
  </si>
  <si>
    <r>
      <rPr>
        <sz val="9"/>
        <color rgb="FF24323D"/>
        <rFont val="Hiragino Sans GB"/>
        <family val="0"/>
        <charset val="1"/>
      </rPr>
      <t xml:space="preserve">C0/P1-E </t>
    </r>
    <r>
      <rPr>
        <sz val="9"/>
        <color rgb="FF24323D"/>
        <rFont val="Linux Libertine G"/>
        <family val="2"/>
      </rPr>
      <t xml:space="preserve">继续从唯一城市权威读取，不复制兵力。</t>
    </r>
  </si>
  <si>
    <t xml:space="preserve">兼容适配层与回归</t>
  </si>
  <si>
    <t xml:space="preserve">兼容适配层与回归；状态守恒、失败原子、可审计。</t>
  </si>
  <si>
    <t xml:space="preserve">T-V5_P1_T006</t>
  </si>
  <si>
    <t xml:space="preserve">V5-P2-T001</t>
  </si>
  <si>
    <t xml:space="preserve">V5-P2</t>
  </si>
  <si>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训练与时间</t>
    </r>
  </si>
  <si>
    <t xml:space="preserve">定义训练队列源状态</t>
  </si>
  <si>
    <t xml:space="preserve">把当前三个训练字段升级为可验证最小队列，不提前通用任务系统。</t>
  </si>
  <si>
    <r>
      <rPr>
        <sz val="9"/>
        <color rgb="FF24323D"/>
        <rFont val="Hiragino Sans GB"/>
        <family val="0"/>
        <charset val="1"/>
      </rPr>
      <t xml:space="preserve">TrainingQueue </t>
    </r>
    <r>
      <rPr>
        <sz val="9"/>
        <color rgb="FF24323D"/>
        <rFont val="Linux Libertine G"/>
        <family val="2"/>
      </rPr>
      <t xml:space="preserve">合同、状态转换、稳定 </t>
    </r>
    <r>
      <rPr>
        <sz val="9"/>
        <color rgb="FF24323D"/>
        <rFont val="Hiragino Sans GB"/>
        <family val="0"/>
        <charset val="1"/>
      </rPr>
      <t xml:space="preserve">ID</t>
    </r>
  </si>
  <si>
    <t xml:space="preserve">V5-P0-T002,V5-P1-T003</t>
  </si>
  <si>
    <r>
      <rPr>
        <sz val="9"/>
        <color rgb="FF24323D"/>
        <rFont val="Hiragino Sans GB"/>
        <family val="0"/>
        <charset val="1"/>
      </rPr>
      <t xml:space="preserve">TrainingQueue </t>
    </r>
    <r>
      <rPr>
        <sz val="9"/>
        <color rgb="FF24323D"/>
        <rFont val="Linux Libertine G"/>
        <family val="2"/>
      </rPr>
      <t xml:space="preserve">合同、状态转换、稳定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</si>
  <si>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T-V5_P2_T001</t>
  </si>
  <si>
    <t xml:space="preserve">V5-P2-T002</t>
  </si>
  <si>
    <t xml:space="preserve">接入军营训练能力</t>
  </si>
  <si>
    <r>
      <rPr>
        <sz val="9"/>
        <color rgb="FF24323D"/>
        <rFont val="Linux Libertine G"/>
        <family val="2"/>
      </rPr>
      <t xml:space="preserve">只有满足现有军营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资源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容量规则才允许下单。</t>
    </r>
  </si>
  <si>
    <t xml:space="preserve">公开下单入口和失败原因</t>
  </si>
  <si>
    <t xml:space="preserve">公开下单入口和失败原因；状态守恒、失败原子、可审计。</t>
  </si>
  <si>
    <t xml:space="preserve">T-V5_P2_T002</t>
  </si>
  <si>
    <t xml:space="preserve">V5-P2-T003</t>
  </si>
  <si>
    <t xml:space="preserve">实现训练资源原子扣除</t>
  </si>
  <si>
    <r>
      <rPr>
        <sz val="9"/>
        <color rgb="FF24323D"/>
        <rFont val="Linux Libertine G"/>
        <family val="2"/>
      </rPr>
      <t xml:space="preserve">下单成功只扣一次；取消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失败不扣；不形成第二账本。</t>
    </r>
  </si>
  <si>
    <t xml:space="preserve">原子命令和失败回滚</t>
  </si>
  <si>
    <t xml:space="preserve">原子命令和失败回滚；状态守恒、失败原子、可审计。</t>
  </si>
  <si>
    <t xml:space="preserve">T-V5_P2_T003</t>
  </si>
  <si>
    <t xml:space="preserve">V5-P2-T004</t>
  </si>
  <si>
    <t xml:space="preserve">定义时间、暂停、场景切换边界</t>
  </si>
  <si>
    <r>
      <rPr>
        <sz val="9"/>
        <color rgb="FF24323D"/>
        <rFont val="Linux Libertine G"/>
        <family val="2"/>
      </rPr>
      <t xml:space="preserve">训练只由城市战略时间推进；战斗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战争阻断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普通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语义明确。</t>
    </r>
  </si>
  <si>
    <t xml:space="preserve">时间推进矩阵</t>
  </si>
  <si>
    <t xml:space="preserve">时间推进矩阵；状态守恒、失败原子、可审计。</t>
  </si>
  <si>
    <t xml:space="preserve">T-V5_P2_T004</t>
  </si>
  <si>
    <t xml:space="preserve">V5-P2-T005</t>
  </si>
  <si>
    <t xml:space="preserve">实现训练完成进入本城驻军</t>
  </si>
  <si>
    <t xml:space="preserve">日结算时完成一次并写入驻军；重复结算无第二次兵力。</t>
  </si>
  <si>
    <t xml:space="preserve">完工转移与日志</t>
  </si>
  <si>
    <t xml:space="preserve">V5-P2-T003,V5-P2-T004,V5-P1-T002</t>
  </si>
  <si>
    <t xml:space="preserve">完工转移与日志；状态守恒、失败原子、可审计。</t>
  </si>
  <si>
    <t xml:space="preserve">T-V5_P2_T005</t>
  </si>
  <si>
    <t xml:space="preserve">V5-P2-T006</t>
  </si>
  <si>
    <t xml:space="preserve">实现容量／供养阻断原因</t>
  </si>
  <si>
    <r>
      <rPr>
        <sz val="9"/>
        <color rgb="FF24323D"/>
        <rFont val="Linux Libertine G"/>
        <family val="2"/>
      </rPr>
      <t xml:space="preserve">达到上限时暂停或拒绝，并向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返回具体原因。</t>
    </r>
  </si>
  <si>
    <r>
      <rPr>
        <sz val="9"/>
        <color rgb="FF24323D"/>
        <rFont val="Linux Libertine G"/>
        <family val="2"/>
      </rPr>
      <t xml:space="preserve">结构化 </t>
    </r>
    <r>
      <rPr>
        <sz val="9"/>
        <color rgb="FF24323D"/>
        <rFont val="Hiragino Sans GB"/>
        <family val="0"/>
        <charset val="1"/>
      </rPr>
      <t xml:space="preserve">blocked reason</t>
    </r>
  </si>
  <si>
    <t xml:space="preserve">V5-P1-T004,V5-P2-T005</t>
  </si>
  <si>
    <r>
      <rPr>
        <sz val="9"/>
        <color rgb="FF24323D"/>
        <rFont val="Linux Libertine G"/>
        <family val="2"/>
      </rPr>
      <t xml:space="preserve">结构化 </t>
    </r>
    <r>
      <rPr>
        <sz val="9"/>
        <color rgb="FF24323D"/>
        <rFont val="Hiragino Sans GB"/>
        <family val="0"/>
        <charset val="1"/>
      </rPr>
      <t xml:space="preserve">blocked reason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</si>
  <si>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T-V5_P2_T006</t>
  </si>
  <si>
    <t xml:space="preserve">V5-P2-T007</t>
  </si>
  <si>
    <t xml:space="preserve">实现训练与日结算测试</t>
  </si>
  <si>
    <r>
      <rPr>
        <sz val="9"/>
        <color rgb="FF24323D"/>
        <rFont val="Linux Libertine G"/>
        <family val="2"/>
      </rPr>
      <t xml:space="preserve">覆盖 </t>
    </r>
    <r>
      <rPr>
        <sz val="9"/>
        <color rgb="FF24323D"/>
        <rFont val="Hiragino Sans GB"/>
        <family val="0"/>
        <charset val="1"/>
      </rPr>
      <t xml:space="preserve">1×/2×/4×</t>
    </r>
    <r>
      <rPr>
        <sz val="9"/>
        <color rgb="FF24323D"/>
        <rFont val="Linux Libertine G"/>
        <family val="2"/>
      </rPr>
      <t xml:space="preserve">、暂停、战争阻断、场景切换和重复日界线。</t>
    </r>
  </si>
  <si>
    <r>
      <rPr>
        <sz val="9"/>
        <color rgb="FF24323D"/>
        <rFont val="Linux Libertine G"/>
        <family val="2"/>
      </rPr>
      <t xml:space="preserve">训练 </t>
    </r>
    <r>
      <rPr>
        <sz val="9"/>
        <color rgb="FF24323D"/>
        <rFont val="Hiragino Sans GB"/>
        <family val="0"/>
        <charset val="1"/>
      </rPr>
      <t xml:space="preserve">runner </t>
    </r>
    <r>
      <rPr>
        <sz val="9"/>
        <color rgb="FF24323D"/>
        <rFont val="Linux Libertine G"/>
        <family val="2"/>
      </rPr>
      <t xml:space="preserve">与既有日结算回归</t>
    </r>
  </si>
  <si>
    <t xml:space="preserve">V5-P2-T005,V5-P2-T006</t>
  </si>
  <si>
    <r>
      <rPr>
        <sz val="9"/>
        <color rgb="FF24323D"/>
        <rFont val="Linux Libertine G"/>
        <family val="2"/>
      </rPr>
      <t xml:space="preserve">训练 </t>
    </r>
    <r>
      <rPr>
        <sz val="9"/>
        <color rgb="FF24323D"/>
        <rFont val="Hiragino Sans GB"/>
        <family val="0"/>
        <charset val="1"/>
      </rPr>
      <t xml:space="preserve">runner </t>
    </r>
    <r>
      <rPr>
        <sz val="9"/>
        <color rgb="FF24323D"/>
        <rFont val="Linux Libertine G"/>
        <family val="2"/>
      </rPr>
      <t xml:space="preserve">与既有日结算回归；状态守恒、失败原子、可审计。</t>
    </r>
  </si>
  <si>
    <t xml:space="preserve">T-V5_P2_T007</t>
  </si>
  <si>
    <t xml:space="preserve">V5-P3-T001</t>
  </si>
  <si>
    <t xml:space="preserve">V5-P3</t>
  </si>
  <si>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派遣与军队</t>
    </r>
  </si>
  <si>
    <r>
      <rPr>
        <sz val="9"/>
        <color rgb="FF24323D"/>
        <rFont val="Linux Libertine G"/>
        <family val="2"/>
      </rPr>
      <t xml:space="preserve">定义可持久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最小合同</t>
    </r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</si>
  <si>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起使用持久集合容器；每项包含 </t>
    </r>
    <r>
      <rPr>
        <sz val="9"/>
        <color rgb="FF24323D"/>
        <rFont val="Hiragino Sans GB"/>
        <family val="0"/>
        <charset val="1"/>
      </rPr>
      <t xml:space="preserve">stable ID</t>
    </r>
    <r>
      <rPr>
        <sz val="9"/>
        <color rgb="FF24323D"/>
        <rFont val="Linux Libertine G"/>
        <family val="2"/>
      </rPr>
      <t xml:space="preserve">、兵种数量、稳定来源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目标</t>
    </r>
    <r>
      <rPr>
        <sz val="9"/>
        <color rgb="FF24323D"/>
        <rFont val="Hiragino Sans GB"/>
        <family val="0"/>
        <charset val="1"/>
      </rPr>
      <t xml:space="preserve">/route ID</t>
    </r>
    <r>
      <rPr>
        <sz val="9"/>
        <color rgb="FF24323D"/>
        <rFont val="Linux Libertine G"/>
        <family val="2"/>
      </rPr>
      <t xml:space="preserve">、进度、阶段和事务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运行规则最多一支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</si>
  <si>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不依赖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的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集合合同</t>
    </r>
  </si>
  <si>
    <r>
      <rPr>
        <sz val="9"/>
        <color rgb="FF24323D"/>
        <rFont val="Linux Libertine G"/>
        <family val="2"/>
      </rPr>
      <t xml:space="preserve">不依赖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的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集合合同；状态守恒、失败原子、可审计。</t>
    </r>
  </si>
  <si>
    <t xml:space="preserve">T-V5_P3_T001</t>
  </si>
  <si>
    <t xml:space="preserve">V5-P3-T002</t>
  </si>
  <si>
    <r>
      <rPr>
        <sz val="9"/>
        <color rgb="FF24323D"/>
        <rFont val="Linux Libertine G"/>
        <family val="2"/>
      </rPr>
      <t xml:space="preserve">建立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调遣窄适配层</t>
    </r>
  </si>
  <si>
    <r>
      <rPr>
        <sz val="9"/>
        <color rgb="FF24323D"/>
        <rFont val="Hiragino Sans GB"/>
        <family val="0"/>
        <charset val="1"/>
      </rPr>
      <t xml:space="preserve">V4 UI </t>
    </r>
    <r>
      <rPr>
        <sz val="9"/>
        <color rgb="FF24323D"/>
        <rFont val="Linux Libertine G"/>
        <family val="2"/>
      </rPr>
      <t xml:space="preserve">读取真实驻军并提交权威派遣命令；不让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脚本成为世界状态。</t>
    </r>
  </si>
  <si>
    <r>
      <rPr>
        <sz val="9"/>
        <color rgb="FF24323D"/>
        <rFont val="Linux Libertine G"/>
        <family val="2"/>
      </rPr>
      <t xml:space="preserve">查询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命令接口</t>
    </r>
  </si>
  <si>
    <t xml:space="preserve">V5-P3-T001,V5-P1-T004</t>
  </si>
  <si>
    <r>
      <rPr>
        <sz val="9"/>
        <color rgb="FF24323D"/>
        <rFont val="Linux Libertine G"/>
        <family val="2"/>
      </rPr>
      <t xml:space="preserve">查询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命令接口；状态守恒、失败原子、可审计。</t>
    </r>
  </si>
  <si>
    <t xml:space="preserve">T-V5_P3_T002</t>
  </si>
  <si>
    <t xml:space="preserve">V5-P3-T003</t>
  </si>
  <si>
    <t xml:space="preserve">实现派遣预留与一次性扣兵</t>
  </si>
  <si>
    <r>
      <rPr>
        <sz val="9"/>
        <color rgb="FF24323D"/>
        <rFont val="Linux Libertine G"/>
        <family val="2"/>
      </rPr>
      <t xml:space="preserve">确认命令后驻军→预留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在途转换一次；取消安全释放。</t>
    </r>
  </si>
  <si>
    <r>
      <rPr>
        <sz val="9"/>
        <color rgb="FF24323D"/>
        <rFont val="Hiragino Sans GB"/>
        <family val="0"/>
        <charset val="1"/>
      </rPr>
      <t xml:space="preserve">transaction ID </t>
    </r>
    <r>
      <rPr>
        <sz val="9"/>
        <color rgb="FF24323D"/>
        <rFont val="Linux Libertine G"/>
        <family val="2"/>
      </rPr>
      <t xml:space="preserve">和阶段转换</t>
    </r>
  </si>
  <si>
    <r>
      <rPr>
        <sz val="9"/>
        <color rgb="FF24323D"/>
        <rFont val="Hiragino Sans GB"/>
        <family val="0"/>
        <charset val="1"/>
      </rPr>
      <t xml:space="preserve">transaction ID </t>
    </r>
    <r>
      <rPr>
        <sz val="9"/>
        <color rgb="FF24323D"/>
        <rFont val="Linux Libertine G"/>
        <family val="2"/>
      </rPr>
      <t xml:space="preserve">和阶段转换；状态守恒、失败原子、可审计。</t>
    </r>
  </si>
  <si>
    <t xml:space="preserve">T-V5_P3_T003</t>
  </si>
  <si>
    <t xml:space="preserve">V5-P3-T004</t>
  </si>
  <si>
    <r>
      <rPr>
        <sz val="9"/>
        <color rgb="FF24323D"/>
        <rFont val="Linux Libertine G"/>
        <family val="2"/>
      </rPr>
      <t xml:space="preserve">实现单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规则与集合投影边界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</si>
  <si>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最多一支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，但权威存储已是集合；表现由 </t>
    </r>
    <r>
      <rPr>
        <sz val="9"/>
        <color rgb="FF24323D"/>
        <rFont val="Hiragino Sans GB"/>
        <family val="0"/>
        <charset val="1"/>
      </rPr>
      <t xml:space="preserve">stable route/node ID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重建，不以 </t>
    </r>
    <r>
      <rPr>
        <sz val="9"/>
        <color rgb="FF24323D"/>
        <rFont val="Hiragino Sans GB"/>
        <family val="0"/>
        <charset val="1"/>
      </rPr>
      <t xml:space="preserve">Node </t>
    </r>
    <r>
      <rPr>
        <sz val="9"/>
        <color rgb="FF24323D"/>
        <rFont val="Linux Libertine G"/>
        <family val="2"/>
      </rPr>
      <t xml:space="preserve">为权威。</t>
    </r>
  </si>
  <si>
    <r>
      <rPr>
        <sz val="9"/>
        <color rgb="FF24323D"/>
        <rFont val="Hiragino Sans GB"/>
        <family val="0"/>
        <charset val="1"/>
      </rPr>
      <t xml:space="preserve">ArmyState collection→V4 </t>
    </r>
    <r>
      <rPr>
        <sz val="9"/>
        <color rgb="FF24323D"/>
        <rFont val="Linux Libertine G"/>
        <family val="2"/>
      </rPr>
      <t xml:space="preserve">表现投影</t>
    </r>
  </si>
  <si>
    <r>
      <rPr>
        <sz val="9"/>
        <color rgb="FF24323D"/>
        <rFont val="Hiragino Sans GB"/>
        <family val="0"/>
        <charset val="1"/>
      </rPr>
      <t xml:space="preserve">ArmyState collection→V4 </t>
    </r>
    <r>
      <rPr>
        <sz val="9"/>
        <color rgb="FF24323D"/>
        <rFont val="Linux Libertine G"/>
        <family val="2"/>
      </rPr>
      <t xml:space="preserve">表现投影；状态守恒、失败原子、可审计。</t>
    </r>
  </si>
  <si>
    <t xml:space="preserve">T-V5_P3_T004</t>
  </si>
  <si>
    <t xml:space="preserve">V5-P3-T005</t>
  </si>
  <si>
    <t xml:space="preserve">实现抵达幂等与命令防重入</t>
  </si>
  <si>
    <r>
      <rPr>
        <sz val="9"/>
        <color rgb="FF24323D"/>
        <rFont val="Linux Libertine G"/>
        <family val="2"/>
      </rPr>
      <t xml:space="preserve">重复 </t>
    </r>
    <r>
      <rPr>
        <sz val="9"/>
        <color rgb="FF24323D"/>
        <rFont val="Hiragino Sans GB"/>
        <family val="0"/>
        <charset val="1"/>
      </rPr>
      <t xml:space="preserve">frame</t>
    </r>
    <r>
      <rPr>
        <sz val="9"/>
        <color rgb="FF24323D"/>
        <rFont val="Linux Libertine G"/>
        <family val="2"/>
      </rPr>
      <t xml:space="preserve">、信号、返回和重进不重复抵达。</t>
    </r>
  </si>
  <si>
    <t xml:space="preserve">arrival ledger / transaction guard</t>
  </si>
  <si>
    <r>
      <rPr>
        <sz val="9"/>
        <color rgb="FF24323D"/>
        <rFont val="Hiragino Sans GB"/>
        <family val="0"/>
        <charset val="1"/>
      </rPr>
      <t xml:space="preserve">arrival ledger / transaction guard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</si>
  <si>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T-V5_P3_T005</t>
  </si>
  <si>
    <t xml:space="preserve">V5-P3-T006</t>
  </si>
  <si>
    <t xml:space="preserve">实现派遣与行军合同测试</t>
  </si>
  <si>
    <t xml:space="preserve">覆盖取消、重复确认、在途保存点、抵达一次、总兵力守恒。</t>
  </si>
  <si>
    <t xml:space="preserve">ArmyState runner</t>
  </si>
  <si>
    <t xml:space="preserve">V5-P3-T003,V5-P3-T005</t>
  </si>
  <si>
    <r>
      <rPr>
        <sz val="9"/>
        <color rgb="FF24323D"/>
        <rFont val="Hiragino Sans GB"/>
        <family val="0"/>
        <charset val="1"/>
      </rPr>
      <t xml:space="preserve">ArmyState runner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</si>
  <si>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T-V5_P3_T006</t>
  </si>
  <si>
    <t xml:space="preserve">V5-P4-T001</t>
  </si>
  <si>
    <t xml:space="preserve">V5-P4</t>
  </si>
  <si>
    <r>
      <rPr>
        <sz val="9"/>
        <color rgb="FF24323D"/>
        <rFont val="Hiragino Sans GB"/>
        <family val="0"/>
        <charset val="1"/>
      </rPr>
      <t xml:space="preserve">P4 </t>
    </r>
    <r>
      <rPr>
        <sz val="9"/>
        <color rgb="FF24323D"/>
        <rFont val="Linux Libertine G"/>
        <family val="2"/>
      </rPr>
      <t xml:space="preserve">战果写回</t>
    </r>
  </si>
  <si>
    <t xml:space="preserve">冻结遭遇结果事实边界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</si>
  <si>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复用现有极简结果，不扩新战斗；结果只描述事实。</t>
    </r>
  </si>
  <si>
    <t xml:space="preserve">Outcome facts schema</t>
  </si>
  <si>
    <r>
      <rPr>
        <sz val="9"/>
        <color rgb="FF24323D"/>
        <rFont val="Hiragino Sans GB"/>
        <family val="0"/>
        <charset val="1"/>
      </rPr>
      <t xml:space="preserve">Outcome facts schema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</si>
  <si>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T-V5_P4_T001</t>
  </si>
  <si>
    <t xml:space="preserve">V5-P4-T002</t>
  </si>
  <si>
    <t xml:space="preserve">实现伤亡与幸存写回</t>
  </si>
  <si>
    <r>
      <rPr>
        <sz val="9"/>
        <color rgb="FF24323D"/>
        <rFont val="Linux Libertine G"/>
        <family val="2"/>
      </rPr>
      <t xml:space="preserve">失败、胜利分别写回损失与幸存，不直接修改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缓存。</t>
    </r>
  </si>
  <si>
    <r>
      <rPr>
        <sz val="9"/>
        <color rgb="FF24323D"/>
        <rFont val="Linux Libertine G"/>
        <family val="2"/>
      </rPr>
      <t xml:space="preserve">幂等 </t>
    </r>
    <r>
      <rPr>
        <sz val="9"/>
        <color rgb="FF24323D"/>
        <rFont val="Hiragino Sans GB"/>
        <family val="0"/>
        <charset val="1"/>
      </rPr>
      <t xml:space="preserve">writeback command</t>
    </r>
  </si>
  <si>
    <t xml:space="preserve">V5-P4-T001,V5-P3-T005</t>
  </si>
  <si>
    <r>
      <rPr>
        <sz val="9"/>
        <color rgb="FF24323D"/>
        <rFont val="Linux Libertine G"/>
        <family val="2"/>
      </rPr>
      <t xml:space="preserve">幂等 </t>
    </r>
    <r>
      <rPr>
        <sz val="9"/>
        <color rgb="FF24323D"/>
        <rFont val="Hiragino Sans GB"/>
        <family val="0"/>
        <charset val="1"/>
      </rPr>
      <t xml:space="preserve">writeback command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</si>
  <si>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T-V5_P4_T002</t>
  </si>
  <si>
    <t xml:space="preserve">V5-P4-T003</t>
  </si>
  <si>
    <t xml:space="preserve">实现返回或驻扎状态转换</t>
  </si>
  <si>
    <t xml:space="preserve">幸存者按结果返回来源或驻扎目标；规则由结果合同明确。</t>
  </si>
  <si>
    <t xml:space="preserve">合法状态机</t>
  </si>
  <si>
    <t xml:space="preserve">合法状态机；状态守恒、失败原子、可审计。</t>
  </si>
  <si>
    <t xml:space="preserve">T-V5_P4_T003</t>
  </si>
  <si>
    <t xml:space="preserve">V5-P4-T004</t>
  </si>
  <si>
    <t xml:space="preserve">实现重复结果与冲突结果拒绝</t>
  </si>
  <si>
    <r>
      <rPr>
        <sz val="9"/>
        <color rgb="FF24323D"/>
        <rFont val="Linux Libertine G"/>
        <family val="2"/>
      </rPr>
      <t xml:space="preserve">同一 </t>
    </r>
    <r>
      <rPr>
        <sz val="9"/>
        <color rgb="FF24323D"/>
        <rFont val="Hiragino Sans GB"/>
        <family val="0"/>
        <charset val="1"/>
      </rPr>
      <t xml:space="preserve">result </t>
    </r>
    <r>
      <rPr>
        <sz val="9"/>
        <color rgb="FF24323D"/>
        <rFont val="Linux Libertine G"/>
        <family val="2"/>
      </rPr>
      <t xml:space="preserve">只应用一次；冲突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过期结果无部分写入。</t>
    </r>
  </si>
  <si>
    <r>
      <rPr>
        <sz val="9"/>
        <color rgb="FF24323D"/>
        <rFont val="Hiragino Sans GB"/>
        <family val="0"/>
        <charset val="1"/>
      </rPr>
      <t xml:space="preserve">result ledger </t>
    </r>
    <r>
      <rPr>
        <sz val="9"/>
        <color rgb="FF24323D"/>
        <rFont val="Linux Libertine G"/>
        <family val="2"/>
      </rPr>
      <t xml:space="preserve">测试</t>
    </r>
  </si>
  <si>
    <t xml:space="preserve">V5-P4-T002,V5-P4-T003</t>
  </si>
  <si>
    <r>
      <rPr>
        <sz val="9"/>
        <color rgb="FF24323D"/>
        <rFont val="Hiragino Sans GB"/>
        <family val="0"/>
        <charset val="1"/>
      </rPr>
      <t xml:space="preserve">result ledger </t>
    </r>
    <r>
      <rPr>
        <sz val="9"/>
        <color rgb="FF24323D"/>
        <rFont val="Linux Libertine G"/>
        <family val="2"/>
      </rPr>
      <t xml:space="preserve">测试；状态守恒、失败原子、可审计。</t>
    </r>
  </si>
  <si>
    <t xml:space="preserve">T-V5_P4_T004</t>
  </si>
  <si>
    <t xml:space="preserve">V5-P4-T005</t>
  </si>
  <si>
    <t xml:space="preserve">验证现有奖励事务不回退</t>
  </si>
  <si>
    <t xml:space="preserve">Regression</t>
  </si>
  <si>
    <r>
      <rPr>
        <sz val="9"/>
        <color rgb="FF24323D"/>
        <rFont val="Linux Libertine G"/>
        <family val="2"/>
      </rPr>
      <t xml:space="preserve">黑石堡 </t>
    </r>
    <r>
      <rPr>
        <sz val="9"/>
        <color rgb="FF24323D"/>
        <rFont val="Hiragino Sans GB"/>
        <family val="0"/>
        <charset val="1"/>
      </rPr>
      <t xml:space="preserve">20 </t>
    </r>
    <r>
      <rPr>
        <sz val="9"/>
        <color rgb="FF24323D"/>
        <rFont val="Linux Libertine G"/>
        <family val="2"/>
      </rPr>
      <t xml:space="preserve">木材和 </t>
    </r>
    <r>
      <rPr>
        <sz val="9"/>
        <color rgb="FF24323D"/>
        <rFont val="Hiragino Sans GB"/>
        <family val="0"/>
        <charset val="1"/>
      </rPr>
      <t xml:space="preserve">C0 </t>
    </r>
    <r>
      <rPr>
        <sz val="9"/>
        <color rgb="FF24323D"/>
        <rFont val="Linux Libertine G"/>
        <family val="2"/>
      </rPr>
      <t xml:space="preserve">首通键保持现有一次性语义。</t>
    </r>
  </si>
  <si>
    <r>
      <rPr>
        <sz val="9"/>
        <color rgb="FF24323D"/>
        <rFont val="Linux Libertine G"/>
        <family val="2"/>
      </rPr>
      <t xml:space="preserve">既有奖励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战果回归证据</t>
    </r>
  </si>
  <si>
    <r>
      <rPr>
        <sz val="9"/>
        <color rgb="FF24323D"/>
        <rFont val="Hiragino Sans GB"/>
        <family val="0"/>
        <charset val="1"/>
      </rPr>
      <t xml:space="preserve">G3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</si>
  <si>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Linux Libertine G"/>
        <family val="2"/>
      </rPr>
      <t xml:space="preserve">既有奖励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战果回归证据；状态守恒、失败原子、可审计。</t>
    </r>
  </si>
  <si>
    <t xml:space="preserve">T-V5_P4_T005</t>
  </si>
  <si>
    <t xml:space="preserve">V5-G3</t>
  </si>
  <si>
    <t xml:space="preserve">V5-P5-T001</t>
  </si>
  <si>
    <t xml:space="preserve">V5-P5</t>
  </si>
  <si>
    <r>
      <rPr>
        <sz val="9"/>
        <color rgb="FF24323D"/>
        <rFont val="Hiragino Sans GB"/>
        <family val="0"/>
        <charset val="1"/>
      </rPr>
      <t xml:space="preserve">P5 </t>
    </r>
    <r>
      <rPr>
        <sz val="9"/>
        <color rgb="FF24323D"/>
        <rFont val="Linux Libertine G"/>
        <family val="2"/>
      </rPr>
      <t xml:space="preserve">存档与迁移</t>
    </r>
  </si>
  <si>
    <r>
      <rPr>
        <sz val="9"/>
        <color rgb="FF24323D"/>
        <rFont val="Linux Libertine G"/>
        <family val="2"/>
      </rPr>
      <t xml:space="preserve">独立裁决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是否可复用</t>
    </r>
  </si>
  <si>
    <r>
      <rPr>
        <sz val="9"/>
        <color rgb="FF24323D"/>
        <rFont val="Linux Libertine G"/>
        <family val="2"/>
      </rPr>
      <t xml:space="preserve">重新复审受保护 </t>
    </r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文件，不因代码存在就当作通过。</t>
    </r>
  </si>
  <si>
    <r>
      <rPr>
        <sz val="9"/>
        <color rgb="FF24323D"/>
        <rFont val="Hiragino Sans GB"/>
        <family val="0"/>
        <charset val="1"/>
      </rPr>
      <t xml:space="preserve">ACCEPT/BLOCKED verdict </t>
    </r>
    <r>
      <rPr>
        <sz val="9"/>
        <color rgb="FF24323D"/>
        <rFont val="Linux Libertine G"/>
        <family val="2"/>
      </rPr>
      <t xml:space="preserve">与证据</t>
    </r>
  </si>
  <si>
    <r>
      <rPr>
        <sz val="9"/>
        <color rgb="FF24323D"/>
        <rFont val="Hiragino Sans GB"/>
        <family val="0"/>
        <charset val="1"/>
      </rPr>
      <t xml:space="preserve">ACCEPT/BLOCKED verdict </t>
    </r>
    <r>
      <rPr>
        <sz val="9"/>
        <color rgb="FF24323D"/>
        <rFont val="Linux Libertine G"/>
        <family val="2"/>
      </rPr>
      <t xml:space="preserve">与证据；状态守恒、失败原子、可审计。</t>
    </r>
  </si>
  <si>
    <t xml:space="preserve">T-V5_P5_T001</t>
  </si>
  <si>
    <t xml:space="preserve">V5-P5-T002</t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</si>
  <si>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V5 save schema </t>
    </r>
    <r>
      <rPr>
        <sz val="9"/>
        <color rgb="FF24323D"/>
        <rFont val="Linux Libertine G"/>
        <family val="2"/>
      </rPr>
      <t xml:space="preserve">增量</t>
    </r>
  </si>
  <si>
    <r>
      <rPr>
        <sz val="9"/>
        <color rgb="FF24323D"/>
        <rFont val="Linux Libertine G"/>
        <family val="2"/>
      </rPr>
      <t xml:space="preserve">在验收基线上加入驻军、训练、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集合、稳定 </t>
    </r>
    <r>
      <rPr>
        <sz val="9"/>
        <color rgb="FF24323D"/>
        <rFont val="Hiragino Sans GB"/>
        <family val="0"/>
        <charset val="1"/>
      </rPr>
      <t xml:space="preserve">route/node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ledger</t>
    </r>
    <r>
      <rPr>
        <sz val="9"/>
        <color rgb="FF24323D"/>
        <rFont val="Linux Libertine G"/>
        <family val="2"/>
      </rPr>
      <t xml:space="preserve">；不随意补字段。</t>
    </r>
  </si>
  <si>
    <t xml:space="preserve">version + migration contract</t>
  </si>
  <si>
    <t xml:space="preserve">V5-P5-T001,V5-P1-T002,V5-P2-T001,V5-P3-T001</t>
  </si>
  <si>
    <r>
      <rPr>
        <sz val="9"/>
        <color rgb="FF24323D"/>
        <rFont val="Hiragino Sans GB"/>
        <family val="0"/>
        <charset val="1"/>
      </rPr>
      <t xml:space="preserve">version + migration contract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</si>
  <si>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T-V5_P5_T002</t>
  </si>
  <si>
    <t xml:space="preserve">V5-P5-T003</t>
  </si>
  <si>
    <r>
      <rPr>
        <sz val="9"/>
        <color rgb="FF24323D"/>
        <rFont val="Linux Libertine G"/>
        <family val="2"/>
      </rPr>
      <t xml:space="preserve">实现旧快照到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的迁移</t>
    </r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</si>
  <si>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S1A.1 </t>
    </r>
    <r>
      <rPr>
        <sz val="9"/>
        <color rgb="FF24323D"/>
        <rFont val="Linux Libertine G"/>
        <family val="2"/>
      </rPr>
      <t xml:space="preserve">已有单兵力字段安全迁移；失败不污染旧状态。</t>
    </r>
  </si>
  <si>
    <t xml:space="preserve">migration command + rollback</t>
  </si>
  <si>
    <r>
      <rPr>
        <sz val="9"/>
        <color rgb="FF24323D"/>
        <rFont val="Hiragino Sans GB"/>
        <family val="0"/>
        <charset val="1"/>
      </rPr>
      <t xml:space="preserve">migration command + rollback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</si>
  <si>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T-V5_P5_T003</t>
  </si>
  <si>
    <t xml:space="preserve">V5-P5-T004</t>
  </si>
  <si>
    <t xml:space="preserve">实现保存退出与重载闭环</t>
  </si>
  <si>
    <r>
      <rPr>
        <sz val="9"/>
        <color rgb="FF24323D"/>
        <rFont val="Linux Libertine G"/>
        <family val="2"/>
      </rPr>
      <t xml:space="preserve">训练、驻军、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集合（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）、稳定 </t>
    </r>
    <r>
      <rPr>
        <sz val="9"/>
        <color rgb="FF24323D"/>
        <rFont val="Hiragino Sans GB"/>
        <family val="0"/>
        <charset val="1"/>
      </rPr>
      <t xml:space="preserve">route/node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与结果 </t>
    </r>
    <r>
      <rPr>
        <sz val="9"/>
        <color rgb="FF24323D"/>
        <rFont val="Hiragino Sans GB"/>
        <family val="0"/>
        <charset val="1"/>
      </rPr>
      <t xml:space="preserve">ledger </t>
    </r>
    <r>
      <rPr>
        <sz val="9"/>
        <color rgb="FF24323D"/>
        <rFont val="Linux Libertine G"/>
        <family val="2"/>
      </rPr>
      <t xml:space="preserve">跨进程一致。</t>
    </r>
  </si>
  <si>
    <t xml:space="preserve">versioned disk roundtrip</t>
  </si>
  <si>
    <t xml:space="preserve">V5-P5-T003,V5-P3-T005,V5-P4-T004</t>
  </si>
  <si>
    <r>
      <rPr>
        <sz val="9"/>
        <color rgb="FF24323D"/>
        <rFont val="Hiragino Sans GB"/>
        <family val="0"/>
        <charset val="1"/>
      </rPr>
      <t xml:space="preserve">versioned disk roundtrip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</si>
  <si>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T-V5_P5_T004</t>
  </si>
  <si>
    <t xml:space="preserve">V5-P5-T005</t>
  </si>
  <si>
    <t xml:space="preserve">实现坏档、旧版与中断恢复测试</t>
  </si>
  <si>
    <r>
      <rPr>
        <sz val="9"/>
        <color rgb="FF24323D"/>
        <rFont val="Linux Libertine G"/>
        <family val="2"/>
      </rPr>
      <t xml:space="preserve">覆盖不可覆盖、损坏回退、</t>
    </r>
    <r>
      <rPr>
        <sz val="9"/>
        <color rgb="FF24323D"/>
        <rFont val="Hiragino Sans GB"/>
        <family val="0"/>
        <charset val="1"/>
      </rPr>
      <t xml:space="preserve">apply_failed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writer lock </t>
    </r>
    <r>
      <rPr>
        <sz val="9"/>
        <color rgb="FF24323D"/>
        <rFont val="Linux Libertine G"/>
        <family val="2"/>
      </rPr>
      <t xml:space="preserve">和迁移失败。</t>
    </r>
  </si>
  <si>
    <t xml:space="preserve">persistence matrix</t>
  </si>
  <si>
    <r>
      <rPr>
        <sz val="9"/>
        <color rgb="FF24323D"/>
        <rFont val="Hiragino Sans GB"/>
        <family val="0"/>
        <charset val="1"/>
      </rPr>
      <t xml:space="preserve">persistence matrix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</si>
  <si>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T-V5_P5_T005</t>
  </si>
  <si>
    <t xml:space="preserve">V5-P6-T001</t>
  </si>
  <si>
    <t xml:space="preserve">V5-P6</t>
  </si>
  <si>
    <r>
      <rPr>
        <sz val="9"/>
        <color rgb="FF24323D"/>
        <rFont val="Hiragino Sans GB"/>
        <family val="0"/>
        <charset val="1"/>
      </rPr>
      <t xml:space="preserve">P6 </t>
    </r>
    <r>
      <rPr>
        <sz val="9"/>
        <color rgb="FF24323D"/>
        <rFont val="Linux Libertine G"/>
        <family val="2"/>
      </rPr>
      <t xml:space="preserve">最小军备 </t>
    </r>
    <r>
      <rPr>
        <sz val="9"/>
        <color rgb="FF24323D"/>
        <rFont val="Hiragino Sans GB"/>
        <family val="0"/>
        <charset val="1"/>
      </rPr>
      <t xml:space="preserve">UI</t>
    </r>
  </si>
  <si>
    <t xml:space="preserve">显示军营训练状态与真实原因</t>
  </si>
  <si>
    <t xml:space="preserve">UI</t>
  </si>
  <si>
    <r>
      <rPr>
        <sz val="9"/>
        <color rgb="FF24323D"/>
        <rFont val="Linux Libertine G"/>
        <family val="2"/>
      </rPr>
      <t xml:space="preserve">现有城市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中显示成本、完成日、队列、容量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供养阻断。</t>
    </r>
  </si>
  <si>
    <r>
      <rPr>
        <sz val="9"/>
        <color rgb="FF24323D"/>
        <rFont val="Linux Libertine G"/>
        <family val="2"/>
      </rPr>
      <t xml:space="preserve">无假按钮的最低 </t>
    </r>
    <r>
      <rPr>
        <sz val="9"/>
        <color rgb="FF24323D"/>
        <rFont val="Hiragino Sans GB"/>
        <family val="0"/>
        <charset val="1"/>
      </rPr>
      <t xml:space="preserve">UI</t>
    </r>
  </si>
  <si>
    <r>
      <rPr>
        <sz val="9"/>
        <color rgb="FF24323D"/>
        <rFont val="Hiragino Sans GB"/>
        <family val="0"/>
        <charset val="1"/>
      </rPr>
      <t xml:space="preserve">G4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</si>
  <si>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Linux Libertine G"/>
        <family val="2"/>
      </rPr>
      <t xml:space="preserve">无假按钮的最低 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；状态守恒、失败原子、可审计。</t>
    </r>
  </si>
  <si>
    <r>
      <rPr>
        <sz val="9"/>
        <color rgb="FF24323D"/>
        <rFont val="Linux Libertine G"/>
        <family val="2"/>
      </rPr>
      <t xml:space="preserve">真实窗口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自动辅助</t>
    </r>
  </si>
  <si>
    <t xml:space="preserve">T-V5_P6_T001</t>
  </si>
  <si>
    <t xml:space="preserve">V5-G4</t>
  </si>
  <si>
    <t xml:space="preserve">V5-P6-T002</t>
  </si>
  <si>
    <t xml:space="preserve">显示本城驻军、预留、在途和可派兵力</t>
  </si>
  <si>
    <t xml:space="preserve">玩家能解释兵力去向，不把一个总数当作全部状态。</t>
  </si>
  <si>
    <t xml:space="preserve">军备摘要</t>
  </si>
  <si>
    <t xml:space="preserve">V5-P1-T004,V5-P3-T003</t>
  </si>
  <si>
    <t xml:space="preserve">军备摘要；状态守恒、失败原子、可审计。</t>
  </si>
  <si>
    <t xml:space="preserve">T-V5_P6_T002</t>
  </si>
  <si>
    <t xml:space="preserve">V5-P6-T003</t>
  </si>
  <si>
    <r>
      <rPr>
        <sz val="9"/>
        <color rgb="FF24323D"/>
        <rFont val="Linux Libertine G"/>
        <family val="2"/>
      </rPr>
      <t xml:space="preserve">连接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调遣到真实军备数据</t>
    </r>
  </si>
  <si>
    <t xml:space="preserve">UI Integration</t>
  </si>
  <si>
    <t xml:space="preserve">保留手感与场景布局，只替换数据来源和结果回写。</t>
  </si>
  <si>
    <r>
      <rPr>
        <sz val="9"/>
        <color rgb="FF24323D"/>
        <rFont val="Linux Libertine G"/>
        <family val="2"/>
      </rPr>
      <t xml:space="preserve">可玩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调遣路径</t>
    </r>
  </si>
  <si>
    <t xml:space="preserve">V5-P3-T002,V5-P6-T002</t>
  </si>
  <si>
    <r>
      <rPr>
        <sz val="9"/>
        <color rgb="FF24323D"/>
        <rFont val="Linux Libertine G"/>
        <family val="2"/>
      </rPr>
      <t xml:space="preserve">可玩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调遣路径；状态守恒、失败原子、可审计。</t>
    </r>
  </si>
  <si>
    <t xml:space="preserve">T-V5_P6_T003</t>
  </si>
  <si>
    <t xml:space="preserve">V5-P7-T001</t>
  </si>
  <si>
    <t xml:space="preserve">V5-P7</t>
  </si>
  <si>
    <r>
      <rPr>
        <sz val="9"/>
        <color rgb="FF24323D"/>
        <rFont val="Hiragino Sans GB"/>
        <family val="0"/>
        <charset val="1"/>
      </rPr>
      <t xml:space="preserve">P7 </t>
    </r>
    <r>
      <rPr>
        <sz val="9"/>
        <color rgb="FF24323D"/>
        <rFont val="Linux Libertine G"/>
        <family val="2"/>
      </rPr>
      <t xml:space="preserve">验证与冻结</t>
    </r>
  </si>
  <si>
    <r>
      <rPr>
        <sz val="9"/>
        <color rgb="FF24323D"/>
        <rFont val="Linux Libertine G"/>
        <family val="2"/>
      </rPr>
      <t xml:space="preserve">建立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需求—任务—测试追踪</t>
    </r>
  </si>
  <si>
    <t xml:space="preserve">QA</t>
  </si>
  <si>
    <t xml:space="preserve">所有关键需求至少有自动或实体验证。</t>
  </si>
  <si>
    <t xml:space="preserve">验收矩阵无关键缺口</t>
  </si>
  <si>
    <t xml:space="preserve">验收矩阵无关键缺口；状态守恒、失败原子、可审计。</t>
  </si>
  <si>
    <t xml:space="preserve">T-V5_P7_T001</t>
  </si>
  <si>
    <t xml:space="preserve">V5-P7-T002</t>
  </si>
  <si>
    <r>
      <rPr>
        <sz val="9"/>
        <color rgb="FF24323D"/>
        <rFont val="Linux Libertine G"/>
        <family val="2"/>
      </rPr>
      <t xml:space="preserve">运行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专项自动测试</t>
    </r>
  </si>
  <si>
    <t xml:space="preserve">单兵种、驻军、训练、派遣、结果、存档全部通过。</t>
  </si>
  <si>
    <t xml:space="preserve">命令、退出码、断言统计</t>
  </si>
  <si>
    <t xml:space="preserve">V5-P1-T005,V5-P2-T007,V5-P3-T006,V5-P4-T004,V5-P5-T005</t>
  </si>
  <si>
    <t xml:space="preserve">命令、退出码、断言统计；状态守恒、失败原子、可审计。</t>
  </si>
  <si>
    <t xml:space="preserve">T-V5_P7_T002</t>
  </si>
  <si>
    <t xml:space="preserve">V5-P7-T003</t>
  </si>
  <si>
    <t xml:space="preserve">运行全量回归与资源扫描</t>
  </si>
  <si>
    <r>
      <rPr>
        <sz val="9"/>
        <color rgb="FF24323D"/>
        <rFont val="Hiragino Sans GB"/>
        <family val="0"/>
        <charset val="1"/>
      </rPr>
      <t xml:space="preserve">P0/P1/C0/V4 </t>
    </r>
    <r>
      <rPr>
        <sz val="9"/>
        <color rgb="FF24323D"/>
        <rFont val="Linux Libertine G"/>
        <family val="2"/>
      </rPr>
      <t xml:space="preserve">不回退，</t>
    </r>
    <r>
      <rPr>
        <sz val="9"/>
        <color rgb="FF24323D"/>
        <rFont val="Hiragino Sans GB"/>
        <family val="0"/>
        <charset val="1"/>
      </rPr>
      <t xml:space="preserve">scene/editor/UID/diff check </t>
    </r>
    <r>
      <rPr>
        <sz val="9"/>
        <color rgb="FF24323D"/>
        <rFont val="Linux Libertine G"/>
        <family val="2"/>
      </rPr>
      <t xml:space="preserve">通过。</t>
    </r>
  </si>
  <si>
    <r>
      <rPr>
        <sz val="9"/>
        <color rgb="FF24323D"/>
        <rFont val="Hiragino Sans GB"/>
        <family val="0"/>
        <charset val="1"/>
      </rPr>
      <t xml:space="preserve">G3 </t>
    </r>
    <r>
      <rPr>
        <sz val="9"/>
        <color rgb="FF24323D"/>
        <rFont val="Linux Libertine G"/>
        <family val="2"/>
      </rPr>
      <t xml:space="preserve">证据包</t>
    </r>
  </si>
  <si>
    <r>
      <rPr>
        <sz val="9"/>
        <color rgb="FF24323D"/>
        <rFont val="Hiragino Sans GB"/>
        <family val="0"/>
        <charset val="1"/>
      </rPr>
      <t xml:space="preserve">G3 </t>
    </r>
    <r>
      <rPr>
        <sz val="9"/>
        <color rgb="FF24323D"/>
        <rFont val="Linux Libertine G"/>
        <family val="2"/>
      </rPr>
      <t xml:space="preserve">证据包；状态守恒、失败原子、可审计。</t>
    </r>
  </si>
  <si>
    <t xml:space="preserve">T-V5_P7_T003</t>
  </si>
  <si>
    <t xml:space="preserve">V5-P7-T004</t>
  </si>
  <si>
    <r>
      <rPr>
        <sz val="9"/>
        <color rgb="FF24323D"/>
        <rFont val="Linux Libertine G"/>
        <family val="2"/>
      </rPr>
      <t xml:space="preserve">完成真实窗口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垂直闭环</t>
    </r>
  </si>
  <si>
    <t xml:space="preserve">Manual QA</t>
  </si>
  <si>
    <t xml:space="preserve">训练→驻军→派遣→结果→写回→保存→重载全程实体操作。</t>
  </si>
  <si>
    <r>
      <rPr>
        <sz val="9"/>
        <color rgb="FF24323D"/>
        <rFont val="Linux Libertine G"/>
        <family val="2"/>
      </rPr>
      <t xml:space="preserve">截图、日志、</t>
    </r>
    <r>
      <rPr>
        <sz val="9"/>
        <color rgb="FF24323D"/>
        <rFont val="Hiragino Sans GB"/>
        <family val="0"/>
        <charset val="1"/>
      </rPr>
      <t xml:space="preserve">branch/commit/PID</t>
    </r>
  </si>
  <si>
    <t xml:space="preserve">V5-P6-T003,V5-P5-T004,V5-P7-T003</t>
  </si>
  <si>
    <r>
      <rPr>
        <sz val="9"/>
        <color rgb="FF24323D"/>
        <rFont val="Linux Libertine G"/>
        <family val="2"/>
      </rPr>
      <t xml:space="preserve">截图、日志、</t>
    </r>
    <r>
      <rPr>
        <sz val="9"/>
        <color rgb="FF24323D"/>
        <rFont val="Hiragino Sans GB"/>
        <family val="0"/>
        <charset val="1"/>
      </rPr>
      <t xml:space="preserve">branch/commit/PID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</si>
  <si>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T-V5_P7_T004</t>
  </si>
  <si>
    <t xml:space="preserve">V5-P7-T005</t>
  </si>
  <si>
    <r>
      <rPr>
        <sz val="9"/>
        <color rgb="FF24323D"/>
        <rFont val="Linux Libertine G"/>
        <family val="2"/>
      </rPr>
      <t xml:space="preserve">执行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复查</t>
    </r>
  </si>
  <si>
    <t xml:space="preserve">复查权威状态、守恒、迁移、幂等和测试证据。</t>
  </si>
  <si>
    <t xml:space="preserve">G5 verdict</t>
  </si>
  <si>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</si>
  <si>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Hiragino Sans GB"/>
        <family val="0"/>
        <charset val="1"/>
      </rPr>
      <t xml:space="preserve">G5 verdict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</si>
  <si>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T-V5_P7_T005</t>
  </si>
  <si>
    <t xml:space="preserve">V5-G5</t>
  </si>
  <si>
    <t xml:space="preserve">V5-P7-T006</t>
  </si>
  <si>
    <t xml:space="preserve">修复复查问题并再次复查</t>
  </si>
  <si>
    <t xml:space="preserve">Fix/Review</t>
  </si>
  <si>
    <r>
      <rPr>
        <sz val="9"/>
        <color rgb="FF24323D"/>
        <rFont val="Linux Libertine G"/>
        <family val="2"/>
      </rPr>
      <t xml:space="preserve">只在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范围修复阻断项；失败返回 </t>
    </r>
    <r>
      <rPr>
        <sz val="9"/>
        <color rgb="FF24323D"/>
        <rFont val="Hiragino Sans GB"/>
        <family val="0"/>
        <charset val="1"/>
      </rPr>
      <t xml:space="preserve">REVIEW_FAILED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</si>
  <si>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最终无阻断 </t>
    </r>
    <r>
      <rPr>
        <sz val="9"/>
        <color rgb="FF24323D"/>
        <rFont val="Hiragino Sans GB"/>
        <family val="0"/>
        <charset val="1"/>
      </rPr>
      <t xml:space="preserve">verdict</t>
    </r>
  </si>
  <si>
    <r>
      <rPr>
        <sz val="9"/>
        <color rgb="FF24323D"/>
        <rFont val="Linux Libertine G"/>
        <family val="2"/>
      </rPr>
      <t xml:space="preserve">最终无阻断 </t>
    </r>
    <r>
      <rPr>
        <sz val="9"/>
        <color rgb="FF24323D"/>
        <rFont val="Hiragino Sans GB"/>
        <family val="0"/>
        <charset val="1"/>
      </rPr>
      <t xml:space="preserve">verdict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</si>
  <si>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T-V5_P7_T006</t>
  </si>
  <si>
    <t xml:space="preserve">V5-P7-T007</t>
  </si>
  <si>
    <t xml:space="preserve">用户试玩、阶段冻结与回滚包</t>
  </si>
  <si>
    <r>
      <rPr>
        <sz val="9"/>
        <color rgb="FF24323D"/>
        <rFont val="Linux Libertine G"/>
        <family val="2"/>
      </rPr>
      <t xml:space="preserve">用户判断 </t>
    </r>
    <r>
      <rPr>
        <sz val="9"/>
        <color rgb="FF24323D"/>
        <rFont val="Hiragino Sans GB"/>
        <family val="0"/>
        <charset val="1"/>
      </rPr>
      <t xml:space="preserve">10–15 </t>
    </r>
    <r>
      <rPr>
        <sz val="9"/>
        <color rgb="FF24323D"/>
        <rFont val="Linux Libertine G"/>
        <family val="2"/>
      </rPr>
      <t xml:space="preserve">分钟闭环；只提交已验收文件。</t>
    </r>
  </si>
  <si>
    <r>
      <rPr>
        <sz val="9"/>
        <color rgb="FF24323D"/>
        <rFont val="Hiragino Sans GB"/>
        <family val="0"/>
        <charset val="1"/>
      </rPr>
      <t xml:space="preserve">V5 freeze commit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closeout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clean status</t>
    </r>
  </si>
  <si>
    <r>
      <rPr>
        <sz val="9"/>
        <color rgb="FF24323D"/>
        <rFont val="Hiragino Sans GB"/>
        <family val="0"/>
        <charset val="1"/>
      </rPr>
      <t xml:space="preserve">G6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</si>
  <si>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Hiragino Sans GB"/>
        <family val="0"/>
        <charset val="1"/>
      </rPr>
      <t xml:space="preserve">V5 freeze commit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closeout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clean status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</si>
  <si>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T-V5_P7_T007</t>
  </si>
  <si>
    <t xml:space="preserve">V5-G6</t>
  </si>
  <si>
    <t xml:space="preserve">V6-P0-T001</t>
  </si>
  <si>
    <t xml:space="preserve">V6-P0</t>
  </si>
  <si>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合同</t>
    </r>
  </si>
  <si>
    <t xml:space="preserve">冻结持久外城状态所有权</t>
  </si>
  <si>
    <t xml:space="preserve">战略节点、道路、军队与城市引用唯一写入者。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</si>
  <si>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中度拆解；阶段开始前必须依据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实际接口再细化。</t>
    </r>
  </si>
  <si>
    <r>
      <rPr>
        <sz val="9"/>
        <color rgb="FF24323D"/>
        <rFont val="Linux Libertine G"/>
        <family val="2"/>
      </rPr>
      <t xml:space="preserve">不实现完整遭遇战、攻城表现、第二兵种、敌方 </t>
    </r>
    <r>
      <rPr>
        <sz val="9"/>
        <color rgb="FF24323D"/>
        <rFont val="Hiragino Sans GB"/>
        <family val="0"/>
        <charset val="1"/>
      </rPr>
      <t xml:space="preserve">AI</t>
    </r>
    <r>
      <rPr>
        <sz val="9"/>
        <color rgb="FF24323D"/>
        <rFont val="Linux Libertine G"/>
        <family val="2"/>
      </rPr>
      <t xml:space="preserve">。</t>
    </r>
  </si>
  <si>
    <t xml:space="preserve">阶段开始前查重登记</t>
  </si>
  <si>
    <t xml:space="preserve">V5 VERIFIED</t>
  </si>
  <si>
    <r>
      <rPr>
        <sz val="9"/>
        <color rgb="FF24323D"/>
        <rFont val="Hiragino Sans GB"/>
        <family val="0"/>
        <charset val="1"/>
      </rPr>
      <t xml:space="preserve">V5 VERIFIED </t>
    </r>
    <r>
      <rPr>
        <sz val="9"/>
        <color rgb="FF24323D"/>
        <rFont val="Linux Libertine G"/>
        <family val="2"/>
      </rPr>
      <t xml:space="preserve">且当前任务前置完成</t>
    </r>
  </si>
  <si>
    <t xml:space="preserve">战略节点、道路、军队与城市引用唯一写入者。；无第二世界状态；失败可回滚。</t>
  </si>
  <si>
    <r>
      <rPr>
        <sz val="9"/>
        <color rgb="FF24323D"/>
        <rFont val="Linux Libertine G"/>
        <family val="2"/>
      </rPr>
      <t xml:space="preserve">自动测试 </t>
    </r>
    <r>
      <rPr>
        <sz val="9"/>
        <color rgb="FF24323D"/>
        <rFont val="Hiragino Sans GB"/>
        <family val="0"/>
        <charset val="1"/>
      </rPr>
      <t xml:space="preserve">/ </t>
    </r>
    <r>
      <rPr>
        <sz val="9"/>
        <color rgb="FF24323D"/>
        <rFont val="Linux Libertine G"/>
        <family val="2"/>
      </rPr>
      <t xml:space="preserve">独立复查</t>
    </r>
  </si>
  <si>
    <t xml:space="preserve">T-V6_P0_T001</t>
  </si>
  <si>
    <r>
      <rPr>
        <sz val="9"/>
        <color rgb="FF24323D"/>
        <rFont val="Linux Libertine G"/>
        <family val="2"/>
      </rPr>
      <t xml:space="preserve">回到上一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工作包提交</t>
    </r>
  </si>
  <si>
    <r>
      <rPr>
        <sz val="9"/>
        <color rgb="FF24323D"/>
        <rFont val="Linux Libertine G"/>
        <family val="2"/>
      </rPr>
      <t xml:space="preserve">需要复制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、模型仍依赖单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、迁移不安全。</t>
    </r>
  </si>
  <si>
    <t xml:space="preserve">Stage reviewer</t>
  </si>
  <si>
    <t xml:space="preserve">V6-G0,V6-G1</t>
  </si>
  <si>
    <t xml:space="preserve">V6-P0-T002</t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</si>
  <si>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RouteState </t>
    </r>
    <r>
      <rPr>
        <sz val="9"/>
        <color rgb="FF24323D"/>
        <rFont val="Linux Libertine G"/>
        <family val="2"/>
      </rPr>
      <t xml:space="preserve">与位置表示</t>
    </r>
  </si>
  <si>
    <t xml:space="preserve">路线端点、进度、状态和阻断事实，不存像素。</t>
  </si>
  <si>
    <t xml:space="preserve">路线端点、进度、状态和阻断事实，不存像素。；无第二世界状态；失败可回滚。</t>
  </si>
  <si>
    <t xml:space="preserve">T-V6_P0_T002</t>
  </si>
  <si>
    <t xml:space="preserve">V6-G1</t>
  </si>
  <si>
    <t xml:space="preserve">V6-P1-T001</t>
  </si>
  <si>
    <t xml:space="preserve">V6-P1</t>
  </si>
  <si>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多军队</t>
    </r>
  </si>
  <si>
    <r>
      <rPr>
        <sz val="9"/>
        <color rgb="FF24323D"/>
        <rFont val="Linux Libertine G"/>
        <family val="2"/>
      </rPr>
      <t xml:space="preserve">在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集合容器上启用多 </t>
    </r>
    <r>
      <rPr>
        <sz val="9"/>
        <color rgb="FF24323D"/>
        <rFont val="Hiragino Sans GB"/>
        <family val="0"/>
        <charset val="1"/>
      </rPr>
      <t xml:space="preserve">active army</t>
    </r>
  </si>
  <si>
    <r>
      <rPr>
        <sz val="9"/>
        <color rgb="FF24323D"/>
        <rFont val="Linux Libertine G"/>
        <family val="2"/>
      </rPr>
      <t xml:space="preserve">不更换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容器；解除最多一支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的阶段限制并保持稳定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</si>
  <si>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不更换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容器；解除最多一支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的阶段限制并保持稳定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。；无第二世界状态；失败可回滚。</t>
    </r>
  </si>
  <si>
    <t xml:space="preserve">T-V6_P1_T001</t>
  </si>
  <si>
    <t xml:space="preserve">V6-G2</t>
  </si>
  <si>
    <t xml:space="preserve">V6-P1-T002</t>
  </si>
  <si>
    <t xml:space="preserve">实现多军队守恒与并发预留</t>
  </si>
  <si>
    <t xml:space="preserve">多个在途对象不复制驻军或互相覆盖。</t>
  </si>
  <si>
    <t xml:space="preserve">多个在途对象不复制驻军或互相覆盖。；无第二世界状态；失败可回滚。</t>
  </si>
  <si>
    <t xml:space="preserve">T-V6_P1_T002</t>
  </si>
  <si>
    <t xml:space="preserve">V6-P1-T003</t>
  </si>
  <si>
    <t xml:space="preserve">实现驻扎与本地驻军写回</t>
  </si>
  <si>
    <t xml:space="preserve">到达友方据点后形成持久驻扎。</t>
  </si>
  <si>
    <t xml:space="preserve">到达友方据点后形成持久驻扎。；无第二世界状态；失败可回滚。</t>
  </si>
  <si>
    <t xml:space="preserve">T-V6_P1_T003</t>
  </si>
  <si>
    <t xml:space="preserve">V6-P1-T004</t>
  </si>
  <si>
    <t xml:space="preserve">实现支援与进攻命令合同</t>
  </si>
  <si>
    <t xml:space="preserve">合法相邻路线、成本与一次性提交。</t>
  </si>
  <si>
    <t xml:space="preserve">合法相邻路线、成本与一次性提交。；无第二世界状态；失败可回滚。</t>
  </si>
  <si>
    <t xml:space="preserve">T-V6_P1_T004</t>
  </si>
  <si>
    <t xml:space="preserve">V6-P1-T005</t>
  </si>
  <si>
    <t xml:space="preserve">实现返回命令与来源恢复</t>
  </si>
  <si>
    <r>
      <rPr>
        <sz val="9"/>
        <color rgb="FF24323D"/>
        <rFont val="Linux Libertine G"/>
        <family val="2"/>
      </rPr>
      <t xml:space="preserve">返回不是复制；中断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失败可恢复。</t>
    </r>
  </si>
  <si>
    <r>
      <rPr>
        <sz val="9"/>
        <color rgb="FF24323D"/>
        <rFont val="Linux Libertine G"/>
        <family val="2"/>
      </rPr>
      <t xml:space="preserve">返回不是复制；中断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失败可恢复。；无第二世界状态；失败可回滚。</t>
    </r>
  </si>
  <si>
    <t xml:space="preserve">T-V6_P1_T005</t>
  </si>
  <si>
    <t xml:space="preserve">V6-P2-T001</t>
  </si>
  <si>
    <t xml:space="preserve">V6-P2</t>
  </si>
  <si>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行军持久化</t>
    </r>
  </si>
  <si>
    <t xml:space="preserve">扩展多军队行军保存与恢复</t>
  </si>
  <si>
    <t xml:space="preserve">Persistence</t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</si>
  <si>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V5 route/node/progress </t>
    </r>
    <r>
      <rPr>
        <sz val="9"/>
        <color rgb="FF24323D"/>
        <rFont val="Linux Libertine G"/>
        <family val="2"/>
      </rPr>
      <t xml:space="preserve">字段，增加并发时间基准与多事务恢复。</t>
    </r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</si>
  <si>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V5 route/node/progress </t>
    </r>
    <r>
      <rPr>
        <sz val="9"/>
        <color rgb="FF24323D"/>
        <rFont val="Linux Libertine G"/>
        <family val="2"/>
      </rPr>
      <t xml:space="preserve">字段，增加并发时间基准与多事务恢复。；无第二世界状态；失败可回滚。</t>
    </r>
  </si>
  <si>
    <t xml:space="preserve">T-V6_P2_T001</t>
  </si>
  <si>
    <t xml:space="preserve">V6-P2-T002</t>
  </si>
  <si>
    <t xml:space="preserve">完整战区场景重进重建军队表现</t>
  </si>
  <si>
    <t xml:space="preserve">Integration</t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</si>
  <si>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集合和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战区状态投影，不让 </t>
    </r>
    <r>
      <rPr>
        <sz val="9"/>
        <color rgb="FF24323D"/>
        <rFont val="Hiragino Sans GB"/>
        <family val="0"/>
        <charset val="1"/>
      </rPr>
      <t xml:space="preserve">Node </t>
    </r>
    <r>
      <rPr>
        <sz val="9"/>
        <color rgb="FF24323D"/>
        <rFont val="Linux Libertine G"/>
        <family val="2"/>
      </rPr>
      <t xml:space="preserve">成为真相。</t>
    </r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</si>
  <si>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集合和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战区状态投影，不让 </t>
    </r>
    <r>
      <rPr>
        <sz val="9"/>
        <color rgb="FF24323D"/>
        <rFont val="Hiragino Sans GB"/>
        <family val="0"/>
        <charset val="1"/>
      </rPr>
      <t xml:space="preserve">Node </t>
    </r>
    <r>
      <rPr>
        <sz val="9"/>
        <color rgb="FF24323D"/>
        <rFont val="Linux Libertine G"/>
        <family val="2"/>
      </rPr>
      <t xml:space="preserve">成为真相。；无第二世界状态；失败可回滚。</t>
    </r>
  </si>
  <si>
    <t xml:space="preserve">T-V6_P2_T002</t>
  </si>
  <si>
    <t xml:space="preserve">V6-P3-T001</t>
  </si>
  <si>
    <t xml:space="preserve">V6-P3</t>
  </si>
  <si>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触发合同</t>
    </r>
  </si>
  <si>
    <t xml:space="preserve">定义两军相遇触发事实</t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</si>
  <si>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encounter request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战斗。</t>
    </r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</si>
  <si>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encounter request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战斗。；无第二世界状态；失败可回滚。</t>
    </r>
  </si>
  <si>
    <t xml:space="preserve">T-V6_P3_T001</t>
  </si>
  <si>
    <t xml:space="preserve">V6-P3-T002</t>
  </si>
  <si>
    <t xml:space="preserve">定义抵达敌城的围城触发事实</t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</si>
  <si>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siege pending fact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V8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</si>
  <si>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siege pending fact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V8</t>
    </r>
    <r>
      <rPr>
        <sz val="9"/>
        <color rgb="FF24323D"/>
        <rFont val="Linux Libertine G"/>
        <family val="2"/>
      </rPr>
      <t xml:space="preserve">。；无第二世界状态；失败可回滚。</t>
    </r>
  </si>
  <si>
    <t xml:space="preserve">T-V6_P3_T002</t>
  </si>
  <si>
    <t xml:space="preserve">V6-P4-T001</t>
  </si>
  <si>
    <t xml:space="preserve">V6-P4</t>
  </si>
  <si>
    <t xml:space="preserve">P4 UI</t>
  </si>
  <si>
    <r>
      <rPr>
        <sz val="9"/>
        <color rgb="FF24323D"/>
        <rFont val="Linux Libertine G"/>
        <family val="2"/>
      </rPr>
      <t xml:space="preserve">保持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一次只操作一支军队</t>
    </r>
  </si>
  <si>
    <r>
      <rPr>
        <sz val="9"/>
        <color rgb="FF24323D"/>
        <rFont val="Linux Libertine G"/>
        <family val="2"/>
      </rPr>
      <t xml:space="preserve">选择态与世界集合分离，无 </t>
    </r>
    <r>
      <rPr>
        <sz val="9"/>
        <color rgb="FF24323D"/>
        <rFont val="Hiragino Sans GB"/>
        <family val="0"/>
        <charset val="1"/>
      </rPr>
      <t xml:space="preserve">active singleton </t>
    </r>
    <r>
      <rPr>
        <sz val="9"/>
        <color rgb="FF24323D"/>
        <rFont val="Linux Libertine G"/>
        <family val="2"/>
      </rPr>
      <t xml:space="preserve">持久假设。</t>
    </r>
  </si>
  <si>
    <r>
      <rPr>
        <sz val="9"/>
        <color rgb="FF24323D"/>
        <rFont val="Linux Libertine G"/>
        <family val="2"/>
      </rPr>
      <t xml:space="preserve">选择态与世界集合分离，无 </t>
    </r>
    <r>
      <rPr>
        <sz val="9"/>
        <color rgb="FF24323D"/>
        <rFont val="Hiragino Sans GB"/>
        <family val="0"/>
        <charset val="1"/>
      </rPr>
      <t xml:space="preserve">active singleton </t>
    </r>
    <r>
      <rPr>
        <sz val="9"/>
        <color rgb="FF24323D"/>
        <rFont val="Linux Libertine G"/>
        <family val="2"/>
      </rPr>
      <t xml:space="preserve">持久假设。；无第二世界状态；失败可回滚。</t>
    </r>
  </si>
  <si>
    <t xml:space="preserve">T-V6_P4_T001</t>
  </si>
  <si>
    <t xml:space="preserve">V6-G4</t>
  </si>
  <si>
    <t xml:space="preserve">V6-P5-T001</t>
  </si>
  <si>
    <t xml:space="preserve">V6-P5</t>
  </si>
  <si>
    <r>
      <rPr>
        <sz val="9"/>
        <color rgb="FF24323D"/>
        <rFont val="Hiragino Sans GB"/>
        <family val="0"/>
        <charset val="1"/>
      </rPr>
      <t xml:space="preserve">P5 </t>
    </r>
    <r>
      <rPr>
        <sz val="9"/>
        <color rgb="FF24323D"/>
        <rFont val="Linux Libertine G"/>
        <family val="2"/>
      </rPr>
      <t xml:space="preserve">验证</t>
    </r>
  </si>
  <si>
    <t xml:space="preserve">多军队、行军恢复与触发合同自动测试</t>
  </si>
  <si>
    <t xml:space="preserve">并发、重复到达、保存、重进、守恒。</t>
  </si>
  <si>
    <t xml:space="preserve">并发、重复到达、保存、重进、守恒。；无第二世界状态；失败可回滚。</t>
  </si>
  <si>
    <t xml:space="preserve">T-V6_P5_T001</t>
  </si>
  <si>
    <t xml:space="preserve">V6-G3</t>
  </si>
  <si>
    <t xml:space="preserve">V6-P5-T002</t>
  </si>
  <si>
    <t xml:space="preserve">真实窗口验证两支军队路径</t>
  </si>
  <si>
    <t xml:space="preserve">分别行军、驻扎、返回、重进可读。</t>
  </si>
  <si>
    <t xml:space="preserve">分别行军、驻扎、返回、重进可读。；无第二世界状态；失败可回滚。</t>
  </si>
  <si>
    <t xml:space="preserve">真实窗口</t>
  </si>
  <si>
    <t xml:space="preserve">T-V6_P5_T002</t>
  </si>
  <si>
    <t xml:space="preserve">V6-G4,V6-G6</t>
  </si>
  <si>
    <t xml:space="preserve">V6-P5-T003</t>
  </si>
  <si>
    <r>
      <rPr>
        <sz val="9"/>
        <color rgb="FF24323D"/>
        <rFont val="Linux Libertine G"/>
        <family val="2"/>
      </rPr>
      <t xml:space="preserve">独立复查并冻结 </t>
    </r>
    <r>
      <rPr>
        <sz val="9"/>
        <color rgb="FF24323D"/>
        <rFont val="Hiragino Sans GB"/>
        <family val="0"/>
        <charset val="1"/>
      </rPr>
      <t xml:space="preserve">V6</t>
    </r>
  </si>
  <si>
    <t xml:space="preserve">状态所有权、并发、迁移和回滚通过。</t>
  </si>
  <si>
    <t xml:space="preserve">状态所有权、并发、迁移和回滚通过。；无第二世界状态；失败可回滚。</t>
  </si>
  <si>
    <t xml:space="preserve">T-V6_P5_T003</t>
  </si>
  <si>
    <t xml:space="preserve">V6-G5,V6-G6</t>
  </si>
  <si>
    <t xml:space="preserve">V7-P0-T001</t>
  </si>
  <si>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工作包</t>
    </r>
  </si>
  <si>
    <r>
      <rPr>
        <sz val="9"/>
        <color rgb="FF24323D"/>
        <rFont val="Linux Libertine G"/>
        <family val="2"/>
      </rPr>
      <t xml:space="preserve">冻结遭遇战请求与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写回合同</t>
    </r>
  </si>
  <si>
    <t xml:space="preserve">远期仅保留工作包级规划，阶段开始前必须根据上一阶段事实重新拆解。</t>
  </si>
  <si>
    <t xml:space="preserve">阶段开始前登记；不预造文件名</t>
  </si>
  <si>
    <t xml:space="preserve">V6 VERIFIED</t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</si>
  <si>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前置门通过</t>
    </r>
  </si>
  <si>
    <r>
      <rPr>
        <sz val="9"/>
        <color rgb="FF24323D"/>
        <rFont val="Linux Libertine G"/>
        <family val="2"/>
      </rPr>
      <t xml:space="preserve">冻结遭遇战请求与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写回合同 的玩家结果、状态合同、失败路径和证据完整。</t>
    </r>
  </si>
  <si>
    <t xml:space="preserve">阶段内测试</t>
  </si>
  <si>
    <t xml:space="preserve">DEFERRED_UNTIL_PRIOR_PHASE_VERIFIED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</si>
  <si>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冻结提交</t>
    </r>
  </si>
  <si>
    <r>
      <rPr>
        <sz val="9"/>
        <color rgb="FF24323D"/>
        <rFont val="Linux Libertine G"/>
        <family val="2"/>
      </rPr>
      <t xml:space="preserve">产品方向未确认、需要新依赖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迁移、状态所有权冲突。</t>
    </r>
  </si>
  <si>
    <t xml:space="preserve">V7-G0,V7-G1</t>
  </si>
  <si>
    <t xml:space="preserve">V7-P1-T002</t>
  </si>
  <si>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工作包</t>
    </r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</si>
  <si>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建立步兵遭遇战适配</t>
    </r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</si>
  <si>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前置门通过</t>
    </r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</si>
  <si>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建立步兵遭遇战适配 的玩家结果、状态合同、失败路径和证据完整。</t>
    </r>
  </si>
  <si>
    <t xml:space="preserve">V7-G2</t>
  </si>
  <si>
    <t xml:space="preserve">V7-P2-T003</t>
  </si>
  <si>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工作包</t>
    </r>
  </si>
  <si>
    <t xml:space="preserve">实现胜利／失败／撤退与战略结果写回</t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</si>
  <si>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前置门通过</t>
    </r>
  </si>
  <si>
    <t xml:space="preserve">实现胜利／失败／撤退与战略结果写回 的玩家结果、状态合同、失败路径和证据完整。</t>
  </si>
  <si>
    <t xml:space="preserve">V7-P3-T004</t>
  </si>
  <si>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工作包</t>
    </r>
  </si>
  <si>
    <t xml:space="preserve">自动、实体与独立复查后冻结</t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</si>
  <si>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前置门通过</t>
    </r>
  </si>
  <si>
    <t xml:space="preserve">自动、实体与独立复查后冻结 的玩家结果、状态合同、失败路径和证据完整。</t>
  </si>
  <si>
    <r>
      <rPr>
        <sz val="9"/>
        <color rgb="FF24323D"/>
        <rFont val="Linux Libertine G"/>
        <family val="2"/>
      </rPr>
      <t xml:space="preserve">自动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真实窗口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独立复查</t>
    </r>
  </si>
  <si>
    <t xml:space="preserve">V7-G3,V7-G4,V7-G5,V7-G6</t>
  </si>
  <si>
    <t xml:space="preserve">V8-P0-T001</t>
  </si>
  <si>
    <t xml:space="preserve">冻结围城状态与战事内城契约</t>
  </si>
  <si>
    <t xml:space="preserve">V7 VERIFIED</t>
  </si>
  <si>
    <t xml:space="preserve">冻结围城状态与战事内城契约 的玩家结果、状态合同、失败路径和证据完整。</t>
  </si>
  <si>
    <t xml:space="preserve">T-ARCH-OWNERSHIP-001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</si>
  <si>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冻结提交</t>
    </r>
  </si>
  <si>
    <t xml:space="preserve">V8-G0,V8-G1</t>
  </si>
  <si>
    <t xml:space="preserve">V8-P1-T002</t>
  </si>
  <si>
    <r>
      <rPr>
        <sz val="9"/>
        <color rgb="FF24323D"/>
        <rFont val="Linux Libertine G"/>
        <family val="2"/>
      </rPr>
      <t xml:space="preserve">建立临时战事内城场景与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</t>
    </r>
  </si>
  <si>
    <r>
      <rPr>
        <sz val="9"/>
        <color rgb="FF24323D"/>
        <rFont val="Linux Libertine G"/>
        <family val="2"/>
      </rPr>
      <t xml:space="preserve">建立临时战事内城场景与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 的玩家结果、状态合同、失败路径和证据完整。</t>
    </r>
  </si>
  <si>
    <t xml:space="preserve">V8-G2</t>
  </si>
  <si>
    <t xml:space="preserve">V8-P2-T003</t>
  </si>
  <si>
    <t xml:space="preserve">实现可维修损伤和城市布局保全写回</t>
  </si>
  <si>
    <t xml:space="preserve">实现可维修损伤和城市布局保全写回 的玩家结果、状态合同、失败路径和证据完整。</t>
  </si>
  <si>
    <t xml:space="preserve">V8-P3-T004</t>
  </si>
  <si>
    <t xml:space="preserve">失败语义、实体测试与独立复查后冻结</t>
  </si>
  <si>
    <t xml:space="preserve">失败语义、实体测试与独立复查后冻结 的玩家结果、状态合同、失败路径和证据完整。</t>
  </si>
  <si>
    <t xml:space="preserve">V8-G3,V8-G4,V8-G5,V8-G6</t>
  </si>
  <si>
    <t xml:space="preserve">V9-P0-T001</t>
  </si>
  <si>
    <r>
      <rPr>
        <sz val="9"/>
        <color rgb="FF24323D"/>
        <rFont val="Linux Libertine G"/>
        <family val="2"/>
      </rPr>
      <t xml:space="preserve">冻结多城市 </t>
    </r>
    <r>
      <rPr>
        <sz val="9"/>
        <color rgb="FF24323D"/>
        <rFont val="Hiragino Sans GB"/>
        <family val="0"/>
        <charset val="1"/>
      </rPr>
      <t xml:space="preserve">identity</t>
    </r>
    <r>
      <rPr>
        <sz val="9"/>
        <color rgb="FF24323D"/>
        <rFont val="Linux Libertine G"/>
        <family val="2"/>
      </rPr>
      <t xml:space="preserve">、归属和迁移合同</t>
    </r>
  </si>
  <si>
    <t xml:space="preserve">V8 VERIFIED</t>
  </si>
  <si>
    <r>
      <rPr>
        <sz val="9"/>
        <color rgb="FF24323D"/>
        <rFont val="Linux Libertine G"/>
        <family val="2"/>
      </rPr>
      <t xml:space="preserve">冻结多城市 </t>
    </r>
    <r>
      <rPr>
        <sz val="9"/>
        <color rgb="FF24323D"/>
        <rFont val="Hiragino Sans GB"/>
        <family val="0"/>
        <charset val="1"/>
      </rPr>
      <t xml:space="preserve">identity</t>
    </r>
    <r>
      <rPr>
        <sz val="9"/>
        <color rgb="FF24323D"/>
        <rFont val="Linux Libertine G"/>
        <family val="2"/>
      </rPr>
      <t xml:space="preserve">、归属和迁移合同 的玩家结果、状态合同、失败路径和证据完整。</t>
    </r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</si>
  <si>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冻结提交</t>
    </r>
  </si>
  <si>
    <t xml:space="preserve">V9-G0,V9-G1</t>
  </si>
  <si>
    <t xml:space="preserve">V9-P1-T002</t>
  </si>
  <si>
    <t xml:space="preserve">建立第二持久城市及城市切换</t>
  </si>
  <si>
    <t xml:space="preserve">建立第二持久城市及城市切换 的玩家结果、状态合同、失败路径和证据完整。</t>
  </si>
  <si>
    <t xml:space="preserve">V9-G2</t>
  </si>
  <si>
    <t xml:space="preserve">V9-P2-T003</t>
  </si>
  <si>
    <t xml:space="preserve">实现占领、锁定、收复和布局恢复</t>
  </si>
  <si>
    <t xml:space="preserve">实现占领、锁定、收复和布局恢复 的玩家结果、状态合同、失败路径和证据完整。</t>
  </si>
  <si>
    <t xml:space="preserve">V9-P3-T004</t>
  </si>
  <si>
    <t xml:space="preserve">多城市存档、实体测试与独立复查后冻结</t>
  </si>
  <si>
    <t xml:space="preserve">多城市存档、实体测试与独立复查后冻结 的玩家结果、状态合同、失败路径和证据完整。</t>
  </si>
  <si>
    <t xml:space="preserve">V9-G3,V9-G4,V9-G5,V9-G6</t>
  </si>
  <si>
    <t xml:space="preserve">V10-P0-T001</t>
  </si>
  <si>
    <t xml:space="preserve">冻结战略时间与敌方行动命令合同</t>
  </si>
  <si>
    <t xml:space="preserve">V9 VERIFIED</t>
  </si>
  <si>
    <t xml:space="preserve">冻结战略时间与敌方行动命令合同 的玩家结果、状态合同、失败路径和证据完整。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</si>
  <si>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V9 </t>
    </r>
    <r>
      <rPr>
        <sz val="9"/>
        <color rgb="FF24323D"/>
        <rFont val="Linux Libertine G"/>
        <family val="2"/>
      </rPr>
      <t xml:space="preserve">冻结提交</t>
    </r>
  </si>
  <si>
    <t xml:space="preserve">V10-G0,V10-G1</t>
  </si>
  <si>
    <t xml:space="preserve">V10-P1-T002</t>
  </si>
  <si>
    <t xml:space="preserve">实现确定性增援、封锁与进攻</t>
  </si>
  <si>
    <t xml:space="preserve">实现确定性增援、封锁与进攻 的玩家结果、状态合同、失败路径和证据完整。</t>
  </si>
  <si>
    <t xml:space="preserve">V10-G2</t>
  </si>
  <si>
    <t xml:space="preserve">V10-P2-T003</t>
  </si>
  <si>
    <t xml:space="preserve">实现预告、日志和玩家响应反馈</t>
  </si>
  <si>
    <t xml:space="preserve">实现预告、日志和玩家响应反馈 的玩家结果、状态合同、失败路径和证据完整。</t>
  </si>
  <si>
    <t xml:space="preserve">V10-P3-T004</t>
  </si>
  <si>
    <t xml:space="preserve">重放、存档、实体与独立复查后冻结</t>
  </si>
  <si>
    <t xml:space="preserve">重放、存档、实体与独立复查后冻结 的玩家结果、状态合同、失败路径和证据完整。</t>
  </si>
  <si>
    <t xml:space="preserve">V10-G3,V10-G4,V10-G5,V10-G6</t>
  </si>
  <si>
    <t xml:space="preserve">V11-P0-T001</t>
  </si>
  <si>
    <t xml:space="preserve">冻结第二兵种和旧存档迁移合同</t>
  </si>
  <si>
    <t xml:space="preserve">V10 VERIFIED</t>
  </si>
  <si>
    <t xml:space="preserve">冻结第二兵种和旧存档迁移合同 的玩家结果、状态合同、失败路径和证据完整。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</si>
  <si>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V10 </t>
    </r>
    <r>
      <rPr>
        <sz val="9"/>
        <color rgb="FF24323D"/>
        <rFont val="Linux Libertine G"/>
        <family val="2"/>
      </rPr>
      <t xml:space="preserve">冻结提交</t>
    </r>
  </si>
  <si>
    <t xml:space="preserve">V11-G0,V11-G1</t>
  </si>
  <si>
    <t xml:space="preserve">V11-P1-T002</t>
  </si>
  <si>
    <r>
      <rPr>
        <sz val="9"/>
        <color rgb="FF24323D"/>
        <rFont val="Linux Libertine G"/>
        <family val="2"/>
      </rPr>
      <t xml:space="preserve">实现第二 </t>
    </r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、训练和补给</t>
    </r>
  </si>
  <si>
    <r>
      <rPr>
        <sz val="9"/>
        <color rgb="FF24323D"/>
        <rFont val="Linux Libertine G"/>
        <family val="2"/>
      </rPr>
      <t xml:space="preserve">实现第二 </t>
    </r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、训练和补给 的玩家结果、状态合同、失败路径和证据完整。</t>
    </r>
  </si>
  <si>
    <t xml:space="preserve">V11-G2</t>
  </si>
  <si>
    <t xml:space="preserve">V11-P2-T003</t>
  </si>
  <si>
    <t xml:space="preserve">实现正式编组及战斗差异</t>
  </si>
  <si>
    <t xml:space="preserve">实现正式编组及战斗差异 的玩家结果、状态合同、失败路径和证据完整。</t>
  </si>
  <si>
    <t xml:space="preserve">V11-P3-T004</t>
  </si>
  <si>
    <t xml:space="preserve">平衡入口、实体与独立复查后冻结</t>
  </si>
  <si>
    <t xml:space="preserve">平衡入口、实体与独立复查后冻结 的玩家结果、状态合同、失败路径和证据完整。</t>
  </si>
  <si>
    <t xml:space="preserve">V11-G3,V11-G4,V11-G5,V11-G6</t>
  </si>
  <si>
    <t xml:space="preserve">V12-P0-T001</t>
  </si>
  <si>
    <t xml:space="preserve">冻结特殊行动命令与结果合同</t>
  </si>
  <si>
    <t xml:space="preserve">V11 VERIFIED</t>
  </si>
  <si>
    <t xml:space="preserve">冻结特殊行动命令与结果合同 的玩家结果、状态合同、失败路径和证据完整。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</si>
  <si>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V11 </t>
    </r>
    <r>
      <rPr>
        <sz val="9"/>
        <color rgb="FF24323D"/>
        <rFont val="Linux Libertine G"/>
        <family val="2"/>
      </rPr>
      <t xml:space="preserve">冻结提交</t>
    </r>
  </si>
  <si>
    <t xml:space="preserve">V12-G0,V12-G1</t>
  </si>
  <si>
    <t xml:space="preserve">V12-P1-T002</t>
  </si>
  <si>
    <t xml:space="preserve">实现工程与路线影响</t>
  </si>
  <si>
    <t xml:space="preserve">实现工程与路线影响 的玩家结果、状态合同、失败路径和证据完整。</t>
  </si>
  <si>
    <t xml:space="preserve">V12-G2</t>
  </si>
  <si>
    <t xml:space="preserve">V12-P2-T003</t>
  </si>
  <si>
    <t xml:space="preserve">实现侦察、伏击与情报影响</t>
  </si>
  <si>
    <t xml:space="preserve">实现侦察、伏击与情报影响 的玩家结果、状态合同、失败路径和证据完整。</t>
  </si>
  <si>
    <t xml:space="preserve">V12-P3-T004</t>
  </si>
  <si>
    <t xml:space="preserve">一次性语义、实体与独立复查后冻结</t>
  </si>
  <si>
    <t xml:space="preserve">一次性语义、实体与独立复查后冻结 的玩家结果、状态合同、失败路径和证据完整。</t>
  </si>
  <si>
    <t xml:space="preserve">V12-G3,V12-G4,V12-G5,V12-G6</t>
  </si>
  <si>
    <t xml:space="preserve">依赖与阶段门</t>
  </si>
  <si>
    <r>
      <rPr>
        <i val="true"/>
        <sz val="10"/>
        <color rgb="FF34495E"/>
        <rFont val="Linux Libertine G"/>
        <family val="2"/>
      </rPr>
      <t xml:space="preserve">每个阶段遵循 </t>
    </r>
    <r>
      <rPr>
        <i val="true"/>
        <sz val="10"/>
        <color rgb="FF34495E"/>
        <rFont val="Hiragino Sans GB"/>
        <family val="0"/>
        <charset val="1"/>
      </rPr>
      <t xml:space="preserve">G0→G6</t>
    </r>
    <r>
      <rPr>
        <i val="true"/>
        <sz val="10"/>
        <color rgb="FF34495E"/>
        <rFont val="Linux Libertine G"/>
        <family val="2"/>
      </rPr>
      <t xml:space="preserve">；关键合同、存档、垂直闭环和高风险修复必须独立复查。</t>
    </r>
  </si>
  <si>
    <t xml:space="preserve">Gate ID</t>
  </si>
  <si>
    <t xml:space="preserve">Gate Name</t>
  </si>
  <si>
    <t xml:space="preserve">Required Tasks</t>
  </si>
  <si>
    <t xml:space="preserve">Required Tests</t>
  </si>
  <si>
    <t xml:space="preserve">Required Evidence</t>
  </si>
  <si>
    <t xml:space="preserve">Blocking Conditions</t>
  </si>
  <si>
    <t xml:space="preserve">Passed Time</t>
  </si>
  <si>
    <t xml:space="preserve">Passed By</t>
  </si>
  <si>
    <t xml:space="preserve">Verdict</t>
  </si>
  <si>
    <t xml:space="preserve">真实基线已锁定</t>
  </si>
  <si>
    <r>
      <rPr>
        <sz val="9"/>
        <color rgb="FF24323D"/>
        <rFont val="Linux Libertine G"/>
        <family val="2"/>
      </rPr>
      <t xml:space="preserve">备份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、基线表、差异清单；核对 </t>
    </r>
    <r>
      <rPr>
        <sz val="9"/>
        <color rgb="FF24323D"/>
        <rFont val="Hiragino Sans GB"/>
        <family val="0"/>
        <charset val="1"/>
      </rPr>
      <t xml:space="preserve">git/status/diff/HEAD/</t>
    </r>
    <r>
      <rPr>
        <sz val="9"/>
        <color rgb="FF24323D"/>
        <rFont val="Linux Libertine G"/>
        <family val="2"/>
      </rPr>
      <t xml:space="preserve">保护哈希</t>
    </r>
  </si>
  <si>
    <r>
      <rPr>
        <sz val="9"/>
        <color rgb="FF24323D"/>
        <rFont val="Linux Libertine G"/>
        <family val="2"/>
      </rPr>
      <t xml:space="preserve">未知 </t>
    </r>
    <r>
      <rPr>
        <sz val="9"/>
        <color rgb="FF24323D"/>
        <rFont val="Hiragino Sans GB"/>
        <family val="0"/>
        <charset val="1"/>
      </rPr>
      <t xml:space="preserve">dirty</t>
    </r>
    <r>
      <rPr>
        <sz val="9"/>
        <color rgb="FF24323D"/>
        <rFont val="Linux Libertine G"/>
        <family val="2"/>
      </rPr>
      <t xml:space="preserve">；保护范围不明；无法恢复</t>
    </r>
  </si>
  <si>
    <t xml:space="preserve">/root/master_plan_review_final + /root/master_plan_review_fast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</si>
  <si>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PLAN-REPAIR-002 </t>
    </r>
    <r>
      <rPr>
        <sz val="9"/>
        <color rgb="FF24323D"/>
        <rFont val="Linux Libertine G"/>
        <family val="2"/>
      </rPr>
      <t xml:space="preserve">完成；两轮独立复查通过；</t>
    </r>
    <r>
      <rPr>
        <sz val="9"/>
        <color rgb="FF24323D"/>
        <rFont val="Hiragino Sans GB"/>
        <family val="0"/>
        <charset val="1"/>
      </rPr>
      <t xml:space="preserve">REVIEW_003 </t>
    </r>
    <r>
      <rPr>
        <sz val="9"/>
        <color rgb="FF24323D"/>
        <rFont val="Linux Libertine G"/>
        <family val="2"/>
      </rPr>
      <t xml:space="preserve">已获用户接受；所需 </t>
    </r>
    <r>
      <rPr>
        <sz val="9"/>
        <color rgb="FF24323D"/>
        <rFont val="Hiragino Sans GB"/>
        <family val="0"/>
        <charset val="1"/>
      </rPr>
      <t xml:space="preserve">Task/Test ID </t>
    </r>
    <r>
      <rPr>
        <sz val="9"/>
        <color rgb="FF24323D"/>
        <rFont val="Linux Libertine G"/>
        <family val="2"/>
      </rPr>
      <t xml:space="preserve">与证据满足；无控制阻断项。只释放 </t>
    </r>
    <r>
      <rPr>
        <sz val="9"/>
        <color rgb="FF24323D"/>
        <rFont val="Hiragino Sans GB"/>
        <family val="0"/>
        <charset val="1"/>
      </rPr>
      <t xml:space="preserve">V4-P5-T001</t>
    </r>
    <r>
      <rPr>
        <sz val="9"/>
        <color rgb="FF24323D"/>
        <rFont val="Linux Libertine G"/>
        <family val="2"/>
      </rPr>
      <t xml:space="preserve">，不代表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技术验收通过。</t>
    </r>
  </si>
  <si>
    <t xml:space="preserve">V4-G1</t>
  </si>
  <si>
    <t xml:space="preserve">数据所有权与状态合同通过</t>
  </si>
  <si>
    <r>
      <rPr>
        <sz val="9"/>
        <color rgb="FF24323D"/>
        <rFont val="Linux Libertine G"/>
        <family val="2"/>
      </rPr>
      <t xml:space="preserve">唯一写入者表、生命周期、迁移边界、</t>
    </r>
    <r>
      <rPr>
        <sz val="9"/>
        <color rgb="FF24323D"/>
        <rFont val="Hiragino Sans GB"/>
        <family val="0"/>
        <charset val="1"/>
      </rPr>
      <t xml:space="preserve">review verdict</t>
    </r>
    <r>
      <rPr>
        <sz val="9"/>
        <color rgb="FF24323D"/>
        <rFont val="Linux Libertine G"/>
        <family val="2"/>
      </rPr>
      <t xml:space="preserve">；现有实现查重</t>
    </r>
  </si>
  <si>
    <r>
      <rPr>
        <sz val="9"/>
        <color rgb="FF24323D"/>
        <rFont val="Linux Libertine G"/>
        <family val="2"/>
      </rPr>
      <t xml:space="preserve">第二套 </t>
    </r>
    <r>
      <rPr>
        <sz val="9"/>
        <color rgb="FF24323D"/>
        <rFont val="Hiragino Sans GB"/>
        <family val="0"/>
        <charset val="1"/>
      </rPr>
      <t xml:space="preserve">CityState/WorldState</t>
    </r>
    <r>
      <rPr>
        <sz val="9"/>
        <color rgb="FF24323D"/>
        <rFont val="Linux Libertine G"/>
        <family val="2"/>
      </rPr>
      <t xml:space="preserve">；写入者不唯一</t>
    </r>
  </si>
  <si>
    <t xml:space="preserve">/root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</si>
  <si>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_garrisons </t>
    </r>
    <r>
      <rPr>
        <sz val="9"/>
        <color rgb="FF24323D"/>
        <rFont val="Linux Libertine G"/>
        <family val="2"/>
      </rPr>
      <t xml:space="preserve">为唯一驻军位置真值；无 </t>
    </r>
    <r>
      <rPr>
        <sz val="9"/>
        <color rgb="FF24323D"/>
        <rFont val="Hiragino Sans GB"/>
        <family val="0"/>
        <charset val="1"/>
      </rPr>
      <t xml:space="preserve">current_node_id </t>
    </r>
    <r>
      <rPr>
        <sz val="9"/>
        <color rgb="FF24323D"/>
        <rFont val="Linux Libertine G"/>
        <family val="2"/>
      </rPr>
      <t xml:space="preserve">或平行位置字段；路线显式 </t>
    </r>
    <r>
      <rPr>
        <sz val="9"/>
        <color rgb="FF24323D"/>
        <rFont val="Hiragino Sans GB"/>
        <family val="0"/>
        <charset val="1"/>
      </rPr>
      <t xml:space="preserve">source_node_id</t>
    </r>
    <r>
      <rPr>
        <sz val="9"/>
        <color rgb="FF24323D"/>
        <rFont val="Linux Libertine G"/>
        <family val="2"/>
      </rPr>
      <t xml:space="preserve">。</t>
    </r>
  </si>
  <si>
    <t xml:space="preserve">V4-G2</t>
  </si>
  <si>
    <t xml:space="preserve">最小垂直闭环自动测试通过</t>
  </si>
  <si>
    <r>
      <rPr>
        <sz val="9"/>
        <color rgb="FF24323D"/>
        <rFont val="Linux Libertine G"/>
        <family val="2"/>
      </rPr>
      <t xml:space="preserve">专项 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、幂等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迁移测试的命令、</t>
    </r>
    <r>
      <rPr>
        <sz val="9"/>
        <color rgb="FF24323D"/>
        <rFont val="Hiragino Sans GB"/>
        <family val="0"/>
        <charset val="1"/>
      </rPr>
      <t xml:space="preserve">exit code</t>
    </r>
    <r>
      <rPr>
        <sz val="9"/>
        <color rgb="FF24323D"/>
        <rFont val="Linux Libertine G"/>
        <family val="2"/>
      </rPr>
      <t xml:space="preserve">、断言与错误统计</t>
    </r>
  </si>
  <si>
    <t xml:space="preserve">关键路径无测试；失败非原子；结果可重复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</si>
  <si>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V4 runner 126 </t>
    </r>
    <r>
      <rPr>
        <sz val="9"/>
        <color rgb="FF24323D"/>
        <rFont val="Linux Libertine G"/>
        <family val="2"/>
      </rPr>
      <t xml:space="preserve">条明确断言；真实 </t>
    </r>
    <r>
      <rPr>
        <sz val="9"/>
        <color rgb="FF24323D"/>
        <rFont val="Hiragino Sans GB"/>
        <family val="0"/>
        <charset val="1"/>
      </rPr>
      <t xml:space="preserve">Viewport/SceneTree </t>
    </r>
    <r>
      <rPr>
        <sz val="9"/>
        <color rgb="FF24323D"/>
        <rFont val="Linux Libertine G"/>
        <family val="2"/>
      </rPr>
      <t xml:space="preserve">输入分发、失败原子、一次性结算通过。</t>
    </r>
  </si>
  <si>
    <t xml:space="preserve">V4-G3</t>
  </si>
  <si>
    <t xml:space="preserve">全量回归通过</t>
  </si>
  <si>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tracked 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editor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UID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diff check </t>
    </r>
    <r>
      <rPr>
        <sz val="9"/>
        <color rgb="FF24323D"/>
        <rFont val="Linux Libertine G"/>
        <family val="2"/>
      </rPr>
      <t xml:space="preserve">完整日志和统计</t>
    </r>
  </si>
  <si>
    <t xml:space="preserve">任何既有回归失败或未知新增错误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</si>
  <si>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27/27 tracked runner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1490 </t>
    </r>
    <r>
      <rPr>
        <sz val="9"/>
        <color rgb="FF24323D"/>
        <rFont val="Linux Libertine G"/>
        <family val="2"/>
      </rPr>
      <t xml:space="preserve">条明确断言 </t>
    </r>
    <r>
      <rPr>
        <sz val="9"/>
        <color rgb="FF24323D"/>
        <rFont val="Hiragino Sans GB"/>
        <family val="0"/>
        <charset val="1"/>
      </rPr>
      <t xml:space="preserve">+ 27 summaries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editor/scene/UID/diff/error scan </t>
    </r>
    <r>
      <rPr>
        <sz val="9"/>
        <color rgb="FF24323D"/>
        <rFont val="Linux Libertine G"/>
        <family val="2"/>
      </rPr>
      <t xml:space="preserve">全部通过。</t>
    </r>
  </si>
  <si>
    <t xml:space="preserve">V4-G4</t>
  </si>
  <si>
    <t xml:space="preserve">实际窗口验证通过</t>
  </si>
  <si>
    <r>
      <rPr>
        <sz val="9"/>
        <color rgb="FF24323D"/>
        <rFont val="Linux Libertine G"/>
        <family val="2"/>
      </rPr>
      <t xml:space="preserve">标准启动器、当前身份窗口、实体操作截图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录像、</t>
    </r>
    <r>
      <rPr>
        <sz val="9"/>
        <color rgb="FF24323D"/>
        <rFont val="Hiragino Sans GB"/>
        <family val="0"/>
        <charset val="1"/>
      </rPr>
      <t xml:space="preserve">PID</t>
    </r>
    <r>
      <rPr>
        <sz val="9"/>
        <color rgb="FF24323D"/>
        <rFont val="Linux Libertine G"/>
        <family val="2"/>
      </rPr>
      <t xml:space="preserve">、标题、步骤结果</t>
    </r>
  </si>
  <si>
    <t xml:space="preserve">自动注入代替实体体验；版本身份不明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</si>
  <si>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：正式启动器新 </t>
    </r>
    <r>
      <rPr>
        <sz val="9"/>
        <color rgb="FF24323D"/>
        <rFont val="Hiragino Sans GB"/>
        <family val="0"/>
        <charset val="1"/>
      </rPr>
      <t xml:space="preserve">PID 77081</t>
    </r>
    <r>
      <rPr>
        <sz val="9"/>
        <color rgb="FF24323D"/>
        <rFont val="Linux Libertine G"/>
        <family val="2"/>
      </rPr>
      <t xml:space="preserve">；右键六点位、</t>
    </r>
    <r>
      <rPr>
        <sz val="9"/>
        <color rgb="FF24323D"/>
        <rFont val="Hiragino Sans GB"/>
        <family val="0"/>
        <charset val="1"/>
      </rPr>
      <t xml:space="preserve">Esc</t>
    </r>
    <r>
      <rPr>
        <sz val="9"/>
        <color rgb="FF24323D"/>
        <rFont val="Linux Libertine G"/>
        <family val="2"/>
      </rPr>
      <t xml:space="preserve">、关闭按钮、</t>
    </r>
    <r>
      <rPr>
        <sz val="9"/>
        <color rgb="FF24323D"/>
        <rFont val="Hiragino Sans GB"/>
        <family val="0"/>
        <charset val="1"/>
      </rPr>
      <t xml:space="preserve">50% </t>
    </r>
    <r>
      <rPr>
        <sz val="9"/>
        <color rgb="FF24323D"/>
        <rFont val="Linux Libertine G"/>
        <family val="2"/>
      </rPr>
      <t xml:space="preserve">调遣、双驻军、并发阻断、单次结算、回城重进均通过。</t>
    </r>
  </si>
  <si>
    <t xml:space="preserve">V4-G5</t>
  </si>
  <si>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复查通过</t>
    </r>
  </si>
  <si>
    <r>
      <rPr>
        <sz val="9"/>
        <color rgb="FF24323D"/>
        <rFont val="Linux Libertine G"/>
        <family val="2"/>
      </rPr>
      <t xml:space="preserve">独立重跑关键测试、</t>
    </r>
    <r>
      <rPr>
        <sz val="9"/>
        <color rgb="FF24323D"/>
        <rFont val="Hiragino Sans GB"/>
        <family val="0"/>
        <charset val="1"/>
      </rPr>
      <t xml:space="preserve">diff </t>
    </r>
    <r>
      <rPr>
        <sz val="9"/>
        <color rgb="FF24323D"/>
        <rFont val="Linux Libertine G"/>
        <family val="2"/>
      </rPr>
      <t xml:space="preserve">审查、结构化 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报告与 </t>
    </r>
    <r>
      <rPr>
        <sz val="9"/>
        <color rgb="FF24323D"/>
        <rFont val="Hiragino Sans GB"/>
        <family val="0"/>
        <charset val="1"/>
      </rPr>
      <t xml:space="preserve">verdict</t>
    </r>
  </si>
  <si>
    <r>
      <rPr>
        <sz val="9"/>
        <color rgb="FF24323D"/>
        <rFont val="Linux Libertine G"/>
        <family val="2"/>
      </rPr>
      <t xml:space="preserve">实现者自证；阻断 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未关闭</t>
    </r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</si>
  <si>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：独立复审报告 </t>
    </r>
    <r>
      <rPr>
        <sz val="9"/>
        <color rgb="FF24323D"/>
        <rFont val="Hiragino Sans GB"/>
        <family val="0"/>
        <charset val="1"/>
      </rPr>
      <t xml:space="preserve">RVW-V4-P5-002</t>
    </r>
    <r>
      <rPr>
        <sz val="9"/>
        <color rgb="FF24323D"/>
        <rFont val="Linux Libertine G"/>
        <family val="2"/>
      </rPr>
      <t xml:space="preserve">；此前三个 </t>
    </r>
    <r>
      <rPr>
        <sz val="9"/>
        <color rgb="FF24323D"/>
        <rFont val="Hiragino Sans GB"/>
        <family val="0"/>
        <charset val="1"/>
      </rPr>
      <t xml:space="preserve">IMPORTANT </t>
    </r>
    <r>
      <rPr>
        <sz val="9"/>
        <color rgb="FF24323D"/>
        <rFont val="Linux Libertine G"/>
        <family val="2"/>
      </rPr>
      <t xml:space="preserve">全部关闭；无新增 </t>
    </r>
    <r>
      <rPr>
        <sz val="9"/>
        <color rgb="FF24323D"/>
        <rFont val="Hiragino Sans GB"/>
        <family val="0"/>
        <charset val="1"/>
      </rPr>
      <t xml:space="preserve">BLOCKER/IMPORTANT</t>
    </r>
    <r>
      <rPr>
        <sz val="9"/>
        <color rgb="FF24323D"/>
        <rFont val="Linux Libertine G"/>
        <family val="2"/>
      </rPr>
      <t xml:space="preserve">。</t>
    </r>
  </si>
  <si>
    <t xml:space="preserve">用户试玩并形成阶段冻结</t>
  </si>
  <si>
    <t xml:space="preserve">V4-P6-T001,V4-P6-T002</t>
  </si>
  <si>
    <t xml:space="preserve">T-V4-003,T-GIT-001</t>
  </si>
  <si>
    <r>
      <rPr>
        <sz val="9"/>
        <color rgb="FF24323D"/>
        <rFont val="Linux Libertine G"/>
        <family val="2"/>
      </rPr>
      <t xml:space="preserve">用户体验结论、最终 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、原子提交、</t>
    </r>
    <r>
      <rPr>
        <sz val="9"/>
        <color rgb="FF24323D"/>
        <rFont val="Hiragino Sans GB"/>
        <family val="0"/>
        <charset val="1"/>
      </rPr>
      <t xml:space="preserve">clean/</t>
    </r>
    <r>
      <rPr>
        <sz val="9"/>
        <color rgb="FF24323D"/>
        <rFont val="Linux Libertine G"/>
        <family val="2"/>
      </rPr>
      <t xml:space="preserve">保护状态</t>
    </r>
  </si>
  <si>
    <r>
      <rPr>
        <sz val="9"/>
        <color rgb="FF24323D"/>
        <rFont val="Linux Libertine G"/>
        <family val="2"/>
      </rPr>
      <t xml:space="preserve">体验未接受；无回滚点；混入无关 </t>
    </r>
    <r>
      <rPr>
        <sz val="9"/>
        <color rgb="FF24323D"/>
        <rFont val="Hiragino Sans GB"/>
        <family val="0"/>
        <charset val="1"/>
      </rPr>
      <t xml:space="preserve">dirty</t>
    </r>
  </si>
  <si>
    <t xml:space="preserve">User + Main Codex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</si>
  <si>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：用户明确接受 </t>
    </r>
    <r>
      <rPr>
        <sz val="9"/>
        <color rgb="FF24323D"/>
        <rFont val="Hiragino Sans GB"/>
        <family val="0"/>
        <charset val="1"/>
      </rPr>
      <t xml:space="preserve">Review 002 </t>
    </r>
    <r>
      <rPr>
        <sz val="9"/>
        <color rgb="FF24323D"/>
        <rFont val="Linux Libertine G"/>
        <family val="2"/>
      </rPr>
      <t xml:space="preserve">并授权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整体 </t>
    </r>
    <r>
      <rPr>
        <sz val="9"/>
        <color rgb="FF24323D"/>
        <rFont val="Hiragino Sans GB"/>
        <family val="0"/>
        <charset val="1"/>
      </rPr>
      <t xml:space="preserve">Gate</t>
    </r>
    <r>
      <rPr>
        <sz val="9"/>
        <color rgb="FF24323D"/>
        <rFont val="Linux Libertine G"/>
        <family val="2"/>
      </rPr>
      <t xml:space="preserve">；八态 </t>
    </r>
    <r>
      <rPr>
        <sz val="9"/>
        <color rgb="FF24323D"/>
        <rFont val="Hiragino Sans GB"/>
        <family val="0"/>
        <charset val="1"/>
      </rPr>
      <t xml:space="preserve">1152×648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150 Blackstone assertions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59 C0 assertions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tracked 27/27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all-present 29/29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scene/editor/diff/error scan </t>
    </r>
    <r>
      <rPr>
        <sz val="9"/>
        <color rgb="FF24323D"/>
        <rFont val="Linux Libertine G"/>
        <family val="2"/>
      </rPr>
      <t xml:space="preserve">全通过；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排除；本地 </t>
    </r>
    <r>
      <rPr>
        <sz val="9"/>
        <color rgb="FF24323D"/>
        <rFont val="Hiragino Sans GB"/>
        <family val="0"/>
        <charset val="1"/>
      </rPr>
      <t xml:space="preserve">checkpoint </t>
    </r>
    <r>
      <rPr>
        <sz val="9"/>
        <color rgb="FF24323D"/>
        <rFont val="Linux Libertine G"/>
        <family val="2"/>
      </rPr>
      <t xml:space="preserve">形成。</t>
    </r>
  </si>
  <si>
    <r>
      <rPr>
        <sz val="9"/>
        <color rgb="FF24323D"/>
        <rFont val="Linux Libertine G"/>
        <family val="0"/>
        <charset val="1"/>
      </rPr>
      <t xml:space="preserve">MAIN AGENT EVIDENCE READY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Linux Libertine G"/>
        <family val="0"/>
        <charset val="1"/>
      </rPr>
      <t xml:space="preserve">V5-P0-T001 </t>
    </r>
    <r>
      <rPr>
        <sz val="9"/>
        <color rgb="FF24323D"/>
        <rFont val="Linux Libertine G"/>
        <family val="2"/>
      </rPr>
      <t xml:space="preserve">已锁定 </t>
    </r>
    <r>
      <rPr>
        <sz val="9"/>
        <color rgb="FF24323D"/>
        <rFont val="Linux Libertine G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、保护范围和事实清单；等待独立 </t>
    </r>
    <r>
      <rPr>
        <sz val="9"/>
        <color rgb="FF24323D"/>
        <rFont val="Linux Libertine G"/>
        <family val="0"/>
        <charset val="1"/>
      </rPr>
      <t xml:space="preserve">package review</t>
    </r>
    <r>
      <rPr>
        <sz val="9"/>
        <color rgb="FF24323D"/>
        <rFont val="Linux Libertine G"/>
        <family val="2"/>
      </rPr>
      <t xml:space="preserve">。</t>
    </r>
  </si>
  <si>
    <t xml:space="preserve">V5-P0-T002,V5-P0-T003,V5-P0-T004,V5-P0-T005,V5-P1-T003,V5-P2-T001,V5-P2-T004,V5-P3-T001,V5-P4-T001,V5-P5-T001,V5-P5-T002</t>
  </si>
  <si>
    <t xml:space="preserve">T-V5_P0_T002,T-V5_P0_T003,T-V5_P0_T004,T-V5_P0_T005,T-V5_P1_T003,T-V5_P2_T001,T-V5_P2_T004,T-V5_P3_T001,T-V5_P4_T001,T-V5_P5_T001,T-V5_P5_T002</t>
  </si>
  <si>
    <r>
      <rPr>
        <sz val="9"/>
        <color rgb="FF24323D"/>
        <rFont val="Linux Libertine G"/>
        <family val="0"/>
        <charset val="1"/>
      </rPr>
      <t xml:space="preserve">PARTIAL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Linux Libertine G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合同与 </t>
    </r>
    <r>
      <rPr>
        <sz val="9"/>
        <color rgb="FF24323D"/>
        <rFont val="Linux Libertine G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兵源边界已实现；</t>
    </r>
    <r>
      <rPr>
        <sz val="9"/>
        <color rgb="FF24323D"/>
        <rFont val="Linux Libertine G"/>
        <family val="0"/>
        <charset val="1"/>
      </rPr>
      <t xml:space="preserve">P2/P3/P4/P5 </t>
    </r>
    <r>
      <rPr>
        <sz val="9"/>
        <color rgb="FF24323D"/>
        <rFont val="Linux Libertine G"/>
        <family val="2"/>
      </rPr>
      <t xml:space="preserve">所需所有权任务尚未开始，不得给出 </t>
    </r>
    <r>
      <rPr>
        <sz val="9"/>
        <color rgb="FF24323D"/>
        <rFont val="Linux Libertine G"/>
        <family val="0"/>
        <charset val="1"/>
      </rPr>
      <t xml:space="preserve">Gate verdict</t>
    </r>
    <r>
      <rPr>
        <sz val="9"/>
        <color rgb="FF24323D"/>
        <rFont val="Linux Libertine G"/>
        <family val="2"/>
      </rPr>
      <t xml:space="preserve">。</t>
    </r>
  </si>
  <si>
    <t xml:space="preserve">V5-P1-T001,V5-P1-T002,V5-P1-T003,V5-P1-T004,V5-P1-T005,V5-P1-T006,V5-P2-T002,V5-P2-T003,V5-P2-T004,V5-P2-T005,V5-P2-T006,V5-P2-T007,V5-P3-T002,V5-P3-T003,V5-P3-T004,V5-P3-T005,V5-P3-T006,V5-P4-T002,V5-P4-T003,V5-P4-T004,V5-P5-T003,V5-P5-T004,V5-P5-T005</t>
  </si>
  <si>
    <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t>
  </si>
  <si>
    <r>
      <rPr>
        <sz val="9"/>
        <color rgb="FF24323D"/>
        <rFont val="Linux Libertine G"/>
        <family val="0"/>
        <charset val="1"/>
      </rPr>
      <t xml:space="preserve">PARTIAL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Linux Libertine G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六项与专项 </t>
    </r>
    <r>
      <rPr>
        <sz val="9"/>
        <color rgb="FF24323D"/>
        <rFont val="Linux Libertine G"/>
        <family val="0"/>
        <charset val="1"/>
      </rPr>
      <t xml:space="preserve">runner </t>
    </r>
    <r>
      <rPr>
        <sz val="9"/>
        <color rgb="FF24323D"/>
        <rFont val="Linux Libertine G"/>
        <family val="2"/>
      </rPr>
      <t xml:space="preserve">已实现；</t>
    </r>
    <r>
      <rPr>
        <sz val="9"/>
        <color rgb="FF24323D"/>
        <rFont val="Linux Libertine G"/>
        <family val="0"/>
        <charset val="1"/>
      </rPr>
      <t xml:space="preserve">P2/P3/P4/P5 </t>
    </r>
    <r>
      <rPr>
        <sz val="9"/>
        <color rgb="FF24323D"/>
        <rFont val="Linux Libertine G"/>
        <family val="2"/>
      </rPr>
      <t xml:space="preserve">垂直闭环任务尚未开始，不得给出 </t>
    </r>
    <r>
      <rPr>
        <sz val="9"/>
        <color rgb="FF24323D"/>
        <rFont val="Linux Libertine G"/>
        <family val="0"/>
        <charset val="1"/>
      </rPr>
      <t xml:space="preserve">Gate verdict</t>
    </r>
    <r>
      <rPr>
        <sz val="9"/>
        <color rgb="FF24323D"/>
        <rFont val="Linux Libertine G"/>
        <family val="2"/>
      </rPr>
      <t xml:space="preserve">。</t>
    </r>
  </si>
  <si>
    <t xml:space="preserve">V5-P4-T005,V5-P7-T001,V5-P7-T002,V5-P7-T003</t>
  </si>
  <si>
    <t xml:space="preserve">T-V5_P4_T005,T-V5_P7_T001,T-V5_P7_T002,T-V5_P7_T003</t>
  </si>
  <si>
    <t xml:space="preserve">V5-P6-T001,V5-P6-T002,V5-P6-T003,V5-P7-T004</t>
  </si>
  <si>
    <t xml:space="preserve">T-V5_P6_T001,T-V5_P6_T002,T-V5_P6_T003,T-V5_P7_T004</t>
  </si>
  <si>
    <t xml:space="preserve">V5-P7-T005,V5-P7-T006</t>
  </si>
  <si>
    <t xml:space="preserve">T-V5_P7_T005,T-V5_P7_T006</t>
  </si>
  <si>
    <t xml:space="preserve">V6-G0</t>
  </si>
  <si>
    <t xml:space="preserve">V6-P0-T001,V6-P0-T002</t>
  </si>
  <si>
    <t xml:space="preserve">T-V6_P0_T001,T-V6_P0_T002</t>
  </si>
  <si>
    <t xml:space="preserve">V6-P1-T001,V6-P1-T002,V6-P1-T003,V6-P1-T004,V6-P1-T005,V6-P2-T001,V6-P2-T002,V6-P3-T001,V6-P3-T002</t>
  </si>
  <si>
    <t xml:space="preserve">T-V6_P1_T001,T-V6_P1_T002,T-V6_P1_T003,T-V6_P1_T004,T-V6_P1_T005,T-V6_P2_T001,T-V6_P2_T002,T-V6_P3_T001,T-V6_P3_T002</t>
  </si>
  <si>
    <t xml:space="preserve">V6-P4-T001,V6-P5-T002</t>
  </si>
  <si>
    <t xml:space="preserve">T-V6_P4_T001,T-V6_P5_T002</t>
  </si>
  <si>
    <t xml:space="preserve">V6-G5</t>
  </si>
  <si>
    <t xml:space="preserve">V6-G6</t>
  </si>
  <si>
    <t xml:space="preserve">V6-P5-T002,V6-P5-T003</t>
  </si>
  <si>
    <t xml:space="preserve">T-V6_P5_T002,T-V6_P5_T003</t>
  </si>
  <si>
    <t xml:space="preserve">V7-G0</t>
  </si>
  <si>
    <r>
      <rPr>
        <sz val="9"/>
        <color rgb="FF24323D"/>
        <rFont val="Linux Libertine G"/>
        <family val="2"/>
      </rPr>
      <t xml:space="preserve">备份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、基线表、差异清单；核对 </t>
    </r>
    <r>
      <rPr>
        <sz val="9"/>
        <color rgb="FF24323D"/>
        <rFont val="Hiragino Sans GB"/>
        <family val="0"/>
        <charset val="1"/>
      </rPr>
      <t xml:space="preserve">git/status/diff/HEAD/</t>
    </r>
    <r>
      <rPr>
        <sz val="9"/>
        <color rgb="FF24323D"/>
        <rFont val="Linux Libertine G"/>
        <family val="2"/>
      </rPr>
      <t xml:space="preserve">保护哈希；相关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</si>
  <si>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V7-G1</t>
  </si>
  <si>
    <r>
      <rPr>
        <sz val="9"/>
        <color rgb="FF24323D"/>
        <rFont val="Linux Libertine G"/>
        <family val="2"/>
      </rPr>
      <t xml:space="preserve">唯一写入者表、生命周期、迁移边界、</t>
    </r>
    <r>
      <rPr>
        <sz val="9"/>
        <color rgb="FF24323D"/>
        <rFont val="Hiragino Sans GB"/>
        <family val="0"/>
        <charset val="1"/>
      </rPr>
      <t xml:space="preserve">review verdict</t>
    </r>
    <r>
      <rPr>
        <sz val="9"/>
        <color rgb="FF24323D"/>
        <rFont val="Linux Libertine G"/>
        <family val="2"/>
      </rPr>
      <t xml:space="preserve">；现有实现查重；相关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</si>
  <si>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V7-P1-T002,V7-P2-T003</t>
  </si>
  <si>
    <r>
      <rPr>
        <sz val="9"/>
        <color rgb="FF24323D"/>
        <rFont val="Linux Libertine G"/>
        <family val="2"/>
      </rPr>
      <t xml:space="preserve">专项 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、幂等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迁移测试的命令、</t>
    </r>
    <r>
      <rPr>
        <sz val="9"/>
        <color rgb="FF24323D"/>
        <rFont val="Hiragino Sans GB"/>
        <family val="0"/>
        <charset val="1"/>
      </rPr>
      <t xml:space="preserve">exit code</t>
    </r>
    <r>
      <rPr>
        <sz val="9"/>
        <color rgb="FF24323D"/>
        <rFont val="Linux Libertine G"/>
        <family val="2"/>
      </rPr>
      <t xml:space="preserve">、断言与错误统计；相关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</si>
  <si>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V7-G3</t>
  </si>
  <si>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tracked 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editor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UID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diff check </t>
    </r>
    <r>
      <rPr>
        <sz val="9"/>
        <color rgb="FF24323D"/>
        <rFont val="Linux Libertine G"/>
        <family val="2"/>
      </rPr>
      <t xml:space="preserve">完整日志和统计；相关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</si>
  <si>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V7-G4</t>
  </si>
  <si>
    <r>
      <rPr>
        <sz val="9"/>
        <color rgb="FF24323D"/>
        <rFont val="Linux Libertine G"/>
        <family val="2"/>
      </rPr>
      <t xml:space="preserve">标准启动器、当前身份窗口、实体操作截图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录像、</t>
    </r>
    <r>
      <rPr>
        <sz val="9"/>
        <color rgb="FF24323D"/>
        <rFont val="Hiragino Sans GB"/>
        <family val="0"/>
        <charset val="1"/>
      </rPr>
      <t xml:space="preserve">PID</t>
    </r>
    <r>
      <rPr>
        <sz val="9"/>
        <color rgb="FF24323D"/>
        <rFont val="Linux Libertine G"/>
        <family val="2"/>
      </rPr>
      <t xml:space="preserve">、标题、步骤结果；相关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</si>
  <si>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V7-G5</t>
  </si>
  <si>
    <r>
      <rPr>
        <sz val="9"/>
        <color rgb="FF24323D"/>
        <rFont val="Linux Libertine G"/>
        <family val="2"/>
      </rPr>
      <t xml:space="preserve">独立重跑关键测试、</t>
    </r>
    <r>
      <rPr>
        <sz val="9"/>
        <color rgb="FF24323D"/>
        <rFont val="Hiragino Sans GB"/>
        <family val="0"/>
        <charset val="1"/>
      </rPr>
      <t xml:space="preserve">diff </t>
    </r>
    <r>
      <rPr>
        <sz val="9"/>
        <color rgb="FF24323D"/>
        <rFont val="Linux Libertine G"/>
        <family val="2"/>
      </rPr>
      <t xml:space="preserve">审查、结构化 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报告与 </t>
    </r>
    <r>
      <rPr>
        <sz val="9"/>
        <color rgb="FF24323D"/>
        <rFont val="Hiragino Sans GB"/>
        <family val="0"/>
        <charset val="1"/>
      </rPr>
      <t xml:space="preserve">verdict</t>
    </r>
    <r>
      <rPr>
        <sz val="9"/>
        <color rgb="FF24323D"/>
        <rFont val="Linux Libertine G"/>
        <family val="2"/>
      </rPr>
      <t xml:space="preserve">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</si>
  <si>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V7-G6</t>
  </si>
  <si>
    <r>
      <rPr>
        <sz val="9"/>
        <color rgb="FF24323D"/>
        <rFont val="Linux Libertine G"/>
        <family val="2"/>
      </rPr>
      <t xml:space="preserve">用户体验结论、最终 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、原子提交、</t>
    </r>
    <r>
      <rPr>
        <sz val="9"/>
        <color rgb="FF24323D"/>
        <rFont val="Hiragino Sans GB"/>
        <family val="0"/>
        <charset val="1"/>
      </rPr>
      <t xml:space="preserve">clean/</t>
    </r>
    <r>
      <rPr>
        <sz val="9"/>
        <color rgb="FF24323D"/>
        <rFont val="Linux Libertine G"/>
        <family val="2"/>
      </rPr>
      <t xml:space="preserve">保护状态；相关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</si>
  <si>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V8-G0</t>
  </si>
  <si>
    <t xml:space="preserve">V8-G1</t>
  </si>
  <si>
    <t xml:space="preserve">V8-P1-T002,V8-P2-T003</t>
  </si>
  <si>
    <t xml:space="preserve">V8-G3</t>
  </si>
  <si>
    <t xml:space="preserve">V8-G4</t>
  </si>
  <si>
    <t xml:space="preserve">V8-G5</t>
  </si>
  <si>
    <t xml:space="preserve">V8-G6</t>
  </si>
  <si>
    <t xml:space="preserve">V9-G0</t>
  </si>
  <si>
    <t xml:space="preserve">V9-G1</t>
  </si>
  <si>
    <t xml:space="preserve">V9-P1-T002,V9-P2-T003</t>
  </si>
  <si>
    <t xml:space="preserve">V9-G3</t>
  </si>
  <si>
    <t xml:space="preserve">V9-G4</t>
  </si>
  <si>
    <t xml:space="preserve">V9-G5</t>
  </si>
  <si>
    <t xml:space="preserve">V9-G6</t>
  </si>
  <si>
    <t xml:space="preserve">V10-G0</t>
  </si>
  <si>
    <t xml:space="preserve">V10-G1</t>
  </si>
  <si>
    <t xml:space="preserve">V10-P1-T002,V10-P2-T003</t>
  </si>
  <si>
    <t xml:space="preserve">V10-G3</t>
  </si>
  <si>
    <t xml:space="preserve">V10-G4</t>
  </si>
  <si>
    <t xml:space="preserve">V10-G5</t>
  </si>
  <si>
    <t xml:space="preserve">V10-G6</t>
  </si>
  <si>
    <t xml:space="preserve">V11-G0</t>
  </si>
  <si>
    <t xml:space="preserve">V11-G1</t>
  </si>
  <si>
    <t xml:space="preserve">V11-P1-T002,V11-P2-T003</t>
  </si>
  <si>
    <t xml:space="preserve">V11-G3</t>
  </si>
  <si>
    <t xml:space="preserve">V11-G4</t>
  </si>
  <si>
    <t xml:space="preserve">V11-G5</t>
  </si>
  <si>
    <t xml:space="preserve">V11-G6</t>
  </si>
  <si>
    <t xml:space="preserve">V12-G0</t>
  </si>
  <si>
    <t xml:space="preserve">V12-G1</t>
  </si>
  <si>
    <t xml:space="preserve">V12-P1-T002,V12-P2-T003</t>
  </si>
  <si>
    <t xml:space="preserve">V12-G3</t>
  </si>
  <si>
    <t xml:space="preserve">V12-G4</t>
  </si>
  <si>
    <t xml:space="preserve">V12-G5</t>
  </si>
  <si>
    <t xml:space="preserve">V12-G6</t>
  </si>
  <si>
    <t xml:space="preserve">需求—任务—测试验收矩阵</t>
  </si>
  <si>
    <t xml:space="preserve">关键需求必须映射任务、测试和证据；自动测试不替代真实窗口或用户体验。</t>
  </si>
  <si>
    <t xml:space="preserve">Requirement ID</t>
  </si>
  <si>
    <t xml:space="preserve">Requirement</t>
  </si>
  <si>
    <t xml:space="preserve">Source</t>
  </si>
  <si>
    <t xml:space="preserve">Related Task IDs</t>
  </si>
  <si>
    <t xml:space="preserve">Related Test IDs</t>
  </si>
  <si>
    <r>
      <rPr>
        <b val="true"/>
        <sz val="10"/>
        <color rgb="FFFFFFFF"/>
        <rFont val="Hiragino Sans GB"/>
        <family val="0"/>
        <charset val="1"/>
      </rPr>
      <t xml:space="preserve">Automated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Manual</t>
    </r>
  </si>
  <si>
    <t xml:space="preserve">Evidence Required</t>
  </si>
  <si>
    <t xml:space="preserve">Current Result</t>
  </si>
  <si>
    <t xml:space="preserve">Reviewer Result</t>
  </si>
  <si>
    <t xml:space="preserve">Final Status</t>
  </si>
  <si>
    <t xml:space="preserve">REQ-V4-001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</si>
  <si>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派遣状态机可取消、不可重入且抵达只结算一次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</si>
  <si>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code + </t>
    </r>
    <r>
      <rPr>
        <sz val="9"/>
        <color rgb="FF24323D"/>
        <rFont val="Linux Libertine G"/>
        <family val="2"/>
      </rPr>
      <t xml:space="preserve">用户方向</t>
    </r>
  </si>
  <si>
    <t xml:space="preserve">V4-P5-T001,V4-P6-T001</t>
  </si>
  <si>
    <t xml:space="preserve">T-REG-001,T-V4-001,T-V4-002,T-V4-003</t>
  </si>
  <si>
    <t xml:space="preserve">Both</t>
  </si>
  <si>
    <t xml:space="preserve">state snapshots + physical mouse path</t>
  </si>
  <si>
    <t xml:space="preserve">PASS_FINAL_GATE</t>
  </si>
  <si>
    <t xml:space="preserve">ACCEPTED</t>
  </si>
  <si>
    <t xml:space="preserve">REQ-V4-002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</si>
  <si>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不修改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八个保护文件</t>
    </r>
  </si>
  <si>
    <t xml:space="preserve">任务边界</t>
  </si>
  <si>
    <t xml:space="preserve">V4-P5-T001,V4-P6-T002</t>
  </si>
  <si>
    <t xml:space="preserve">Automated</t>
  </si>
  <si>
    <t xml:space="preserve">SHA-256 before/after</t>
  </si>
  <si>
    <t xml:space="preserve">PASS_MAIN_AGENT</t>
  </si>
  <si>
    <t xml:space="preserve">REQ-V5-001</t>
  </si>
  <si>
    <t xml:space="preserve">每个持久兵力字段只有一个权威写入者</t>
  </si>
  <si>
    <t xml:space="preserve">长期架构原则</t>
  </si>
  <si>
    <t xml:space="preserve">V5-P0-T002,V5-P1-T002</t>
  </si>
  <si>
    <t xml:space="preserve">T-V5_P0_T002,T-V5_P1_T002</t>
  </si>
  <si>
    <t xml:space="preserve">Automated+Review</t>
  </si>
  <si>
    <t xml:space="preserve">ownership table + contract test</t>
  </si>
  <si>
    <t xml:space="preserve">REQ-V5-002</t>
  </si>
  <si>
    <t xml:space="preserve">当前只显示步兵，但数据合同可扩展</t>
  </si>
  <si>
    <t xml:space="preserve">V5-P0-T003,V5-P1-T001</t>
  </si>
  <si>
    <t xml:space="preserve">contract + no empty UI</t>
  </si>
  <si>
    <t xml:space="preserve">REQ-V5-003</t>
  </si>
  <si>
    <t xml:space="preserve">本城驻军、预留、在途、伤亡和幸存守恒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</si>
  <si>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垂直闭环</t>
    </r>
  </si>
  <si>
    <t xml:space="preserve">V5-P0-T004,V5-P1-T004,V5-P3-T003,V5-P4-T002</t>
  </si>
  <si>
    <t xml:space="preserve">T-V5_P1_T005,T-V5_P3_T006</t>
  </si>
  <si>
    <t xml:space="preserve">before/after ledgers</t>
  </si>
  <si>
    <t xml:space="preserve">PASS_P1_SCOPE</t>
  </si>
  <si>
    <t xml:space="preserve">REQ-V5-004</t>
  </si>
  <si>
    <t xml:space="preserve">训练有真实来源、成本、时间与失败原因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</si>
  <si>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范围</t>
    </r>
  </si>
  <si>
    <t xml:space="preserve">V5-P1-T003,V5-P2-T002,V5-P2-T003,V5-P2-T006</t>
  </si>
  <si>
    <t xml:space="preserve">Automated+Manual</t>
  </si>
  <si>
    <t xml:space="preserve">daily settlement + UI reason</t>
  </si>
  <si>
    <t xml:space="preserve">NOT_RUN</t>
  </si>
  <si>
    <t xml:space="preserve">REQ-V5-005</t>
  </si>
  <si>
    <t xml:space="preserve">训练完成只进入本城驻军一次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</si>
  <si>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闭环</t>
    </r>
  </si>
  <si>
    <t xml:space="preserve">V5-P2-T005,V5-P2-T007</t>
  </si>
  <si>
    <t xml:space="preserve">repeat-day/idempotency assertions</t>
  </si>
  <si>
    <t xml:space="preserve">REQ-V5-006</t>
  </si>
  <si>
    <r>
      <rPr>
        <sz val="9"/>
        <color rgb="FF24323D"/>
        <rFont val="Hiragino Sans GB"/>
        <family val="0"/>
        <charset val="1"/>
      </rPr>
      <t xml:space="preserve">V4 UI </t>
    </r>
    <r>
      <rPr>
        <sz val="9"/>
        <color rgb="FF24323D"/>
        <rFont val="Linux Libertine G"/>
        <family val="2"/>
      </rPr>
      <t xml:space="preserve">读取真实驻军而非场景局部 </t>
    </r>
    <r>
      <rPr>
        <sz val="9"/>
        <color rgb="FF24323D"/>
        <rFont val="Hiragino Sans GB"/>
        <family val="0"/>
        <charset val="1"/>
      </rPr>
      <t xml:space="preserve">fixture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</si>
  <si>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适配</t>
    </r>
  </si>
  <si>
    <t xml:space="preserve">V5-P3-T002,V5-P6-T003</t>
  </si>
  <si>
    <t xml:space="preserve">T-V5_P3_T006,T-V5_P7_T004</t>
  </si>
  <si>
    <t xml:space="preserve">city→dispatch evidence</t>
  </si>
  <si>
    <t xml:space="preserve">REQ-V5-007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</si>
  <si>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即采用持久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集合容器；阶段规则最多一支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，不得把限制固化为单例模型</t>
    </r>
  </si>
  <si>
    <t xml:space="preserve">V5-P3-T001,V5-P3-T004</t>
  </si>
  <si>
    <t xml:space="preserve">Review+Automated</t>
  </si>
  <si>
    <t xml:space="preserve">model collection contract</t>
  </si>
  <si>
    <t xml:space="preserve">REQ-V5-008</t>
  </si>
  <si>
    <t xml:space="preserve">派遣、抵达和结果具备一次性语义</t>
  </si>
  <si>
    <t xml:space="preserve">V5-P3-T003,V5-P3-T005,V5-P4-T004</t>
  </si>
  <si>
    <t xml:space="preserve">T-V5_P3_T006,T-V5_P4_T004</t>
  </si>
  <si>
    <t xml:space="preserve">transaction/result IDs</t>
  </si>
  <si>
    <t xml:space="preserve">REQ-V5-009</t>
  </si>
  <si>
    <t xml:space="preserve">战斗结果只通过权威入口写回</t>
  </si>
  <si>
    <t xml:space="preserve">战役边界设计</t>
  </si>
  <si>
    <t xml:space="preserve">V5-P4-T001,V5-P4-T002</t>
  </si>
  <si>
    <t xml:space="preserve">no direct UI/world mutation</t>
  </si>
  <si>
    <t xml:space="preserve">REQ-V5-010</t>
  </si>
  <si>
    <t xml:space="preserve">保存结构版本化且旧快照可迁移</t>
  </si>
  <si>
    <t xml:space="preserve">V5-P5-T001,V5-P5-T002,V5-P5-T003</t>
  </si>
  <si>
    <t xml:space="preserve">schema/migration matrix</t>
  </si>
  <si>
    <t xml:space="preserve">REQ-V5-011</t>
  </si>
  <si>
    <r>
      <rPr>
        <sz val="9"/>
        <color rgb="FF24323D"/>
        <rFont val="Linux Libertine G"/>
        <family val="2"/>
      </rPr>
      <t xml:space="preserve">保存退出重载后驻军、训练、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集合、稳定 </t>
    </r>
    <r>
      <rPr>
        <sz val="9"/>
        <color rgb="FF24323D"/>
        <rFont val="Hiragino Sans GB"/>
        <family val="0"/>
        <charset val="1"/>
      </rPr>
      <t xml:space="preserve">route/node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ledger </t>
    </r>
    <r>
      <rPr>
        <sz val="9"/>
        <color rgb="FF24323D"/>
        <rFont val="Linux Libertine G"/>
        <family val="2"/>
      </rPr>
      <t xml:space="preserve">一致</t>
    </r>
  </si>
  <si>
    <t xml:space="preserve">V5-P5-T004,V5-P7-T004</t>
  </si>
  <si>
    <t xml:space="preserve">T-V5_P5_T005,T-V5_P7_T004</t>
  </si>
  <si>
    <t xml:space="preserve">cross-process evidence</t>
  </si>
  <si>
    <t xml:space="preserve">REQ-V5-012</t>
  </si>
  <si>
    <t xml:space="preserve">关键失败不部分扣费、不丢兵、不污染旧状态</t>
  </si>
  <si>
    <t xml:space="preserve">工程门禁</t>
  </si>
  <si>
    <t xml:space="preserve">V5-P2-T003,V5-P3-T003,V5-P4-T004,V5-P5-T005</t>
  </si>
  <si>
    <t xml:space="preserve">fault injection</t>
  </si>
  <si>
    <t xml:space="preserve">REQ-V5-013</t>
  </si>
  <si>
    <r>
      <rPr>
        <sz val="9"/>
        <color rgb="FF24323D"/>
        <rFont val="Linux Libertine G"/>
        <family val="2"/>
      </rPr>
      <t xml:space="preserve">军事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只显示真实可用操作和原因</t>
    </r>
  </si>
  <si>
    <t xml:space="preserve">产品边界</t>
  </si>
  <si>
    <t xml:space="preserve">V5-P6-T001,V5-P6-T002,V5-P6-T003</t>
  </si>
  <si>
    <t xml:space="preserve">Manual</t>
  </si>
  <si>
    <t xml:space="preserve">screenshots + user explanation</t>
  </si>
  <si>
    <t xml:space="preserve">REQ-V5-014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</si>
  <si>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关键门由独立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复查，不由实现者自证</t>
    </r>
  </si>
  <si>
    <t xml:space="preserve">流程门禁</t>
  </si>
  <si>
    <t xml:space="preserve">T-REVIEW-001</t>
  </si>
  <si>
    <t xml:space="preserve">review report + re-review</t>
  </si>
  <si>
    <t xml:space="preserve">REQ-V6-001</t>
  </si>
  <si>
    <r>
      <rPr>
        <sz val="9"/>
        <color rgb="FF24323D"/>
        <rFont val="Linux Libertine G"/>
        <family val="2"/>
      </rPr>
      <t xml:space="preserve">持久外城不使用像素</t>
    </r>
    <r>
      <rPr>
        <sz val="9"/>
        <color rgb="FF24323D"/>
        <rFont val="Hiragino Sans GB"/>
        <family val="0"/>
        <charset val="1"/>
      </rPr>
      <t xml:space="preserve">/Node </t>
    </r>
    <r>
      <rPr>
        <sz val="9"/>
        <color rgb="FF24323D"/>
        <rFont val="Linux Libertine G"/>
        <family val="2"/>
      </rPr>
      <t xml:space="preserve">作为权威位置</t>
    </r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</si>
  <si>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范围</t>
    </r>
  </si>
  <si>
    <t xml:space="preserve">V6-P0-T001,V6-P0-T002,V6-P2-T002</t>
  </si>
  <si>
    <t xml:space="preserve">state→projection reconstruction</t>
  </si>
  <si>
    <t xml:space="preserve">REQ-V6-002</t>
  </si>
  <si>
    <r>
      <rPr>
        <sz val="9"/>
        <color rgb="FF24323D"/>
        <rFont val="Linux Libertine G"/>
        <family val="2"/>
      </rPr>
      <t xml:space="preserve">在 </t>
    </r>
    <r>
      <rPr>
        <sz val="9"/>
        <color rgb="FF24323D"/>
        <rFont val="Hiragino Sans GB"/>
        <family val="0"/>
        <charset val="1"/>
      </rPr>
      <t xml:space="preserve">V5 ArmyState </t>
    </r>
    <r>
      <rPr>
        <sz val="9"/>
        <color rgb="FF24323D"/>
        <rFont val="Linux Libertine G"/>
        <family val="2"/>
      </rPr>
      <t xml:space="preserve">集合容器上启用多个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，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可暂时单命令</t>
    </r>
  </si>
  <si>
    <t xml:space="preserve">V6-P1-T001,V6-P4-T001</t>
  </si>
  <si>
    <t xml:space="preserve">two-army fixture</t>
  </si>
  <si>
    <t xml:space="preserve">REQ-V6-003</t>
  </si>
  <si>
    <t xml:space="preserve">行军进度可保存并在场景重进恢复</t>
  </si>
  <si>
    <t xml:space="preserve">V6-P2-T001,V6-P2-T002</t>
  </si>
  <si>
    <t xml:space="preserve">T-V6_P5_T001,T-V6_P5_T002</t>
  </si>
  <si>
    <t xml:space="preserve">cross-scene + save evidence</t>
  </si>
  <si>
    <t xml:space="preserve">REQ-V6-004</t>
  </si>
  <si>
    <r>
      <rPr>
        <sz val="9"/>
        <color rgb="FF24323D"/>
        <rFont val="Linux Libertine G"/>
        <family val="2"/>
      </rPr>
      <t xml:space="preserve">相遇和围城只生成触发事实，不提前实现 </t>
    </r>
    <r>
      <rPr>
        <sz val="9"/>
        <color rgb="FF24323D"/>
        <rFont val="Hiragino Sans GB"/>
        <family val="0"/>
        <charset val="1"/>
      </rPr>
      <t xml:space="preserve">V7/V8</t>
    </r>
  </si>
  <si>
    <t xml:space="preserve">滚动规划</t>
  </si>
  <si>
    <t xml:space="preserve">V6-P3-T001,V6-P3-T002</t>
  </si>
  <si>
    <t xml:space="preserve">trigger contract and no scope creep</t>
  </si>
  <si>
    <t xml:space="preserve">REQ-ARCH-001</t>
  </si>
  <si>
    <t xml:space="preserve">战事内城不能复制常态内城真相</t>
  </si>
  <si>
    <t xml:space="preserve">四层架构</t>
  </si>
  <si>
    <t xml:space="preserve">V8-P0-T001,V8-P2-T003</t>
  </si>
  <si>
    <r>
      <rPr>
        <sz val="9"/>
        <color rgb="FF24323D"/>
        <rFont val="Linux Libertine G"/>
        <family val="2"/>
      </rPr>
      <t xml:space="preserve">独立审查单一城市真相、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临时性与失败后布局保全；不得以文档存在代替执行</t>
    </r>
  </si>
  <si>
    <t xml:space="preserve">REQ-ARCH-002</t>
  </si>
  <si>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交互状态不是世界状态</t>
    </r>
  </si>
  <si>
    <t xml:space="preserve">V5-P0-T002,V6-P4-T001</t>
  </si>
  <si>
    <t xml:space="preserve">ownership sheet</t>
  </si>
  <si>
    <t xml:space="preserve">REQ-PLAN-001</t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</si>
  <si>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计入阶段完成，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仅凭已接受 </t>
    </r>
    <r>
      <rPr>
        <sz val="9"/>
        <color rgb="FF24323D"/>
        <rFont val="Hiragino Sans GB"/>
        <family val="0"/>
        <charset val="1"/>
      </rPr>
      <t xml:space="preserve">Decision </t>
    </r>
    <r>
      <rPr>
        <sz val="9"/>
        <color rgb="FF24323D"/>
        <rFont val="Linux Libertine G"/>
        <family val="2"/>
      </rPr>
      <t xml:space="preserve">才不计入分母</t>
    </r>
  </si>
  <si>
    <t xml:space="preserve">规划系统</t>
  </si>
  <si>
    <t xml:space="preserve">T-PLAN-001</t>
  </si>
  <si>
    <t xml:space="preserve">formula inspection</t>
  </si>
  <si>
    <t xml:space="preserve">PASS_INDEPENDENT_REVIEW</t>
  </si>
  <si>
    <t xml:space="preserve">REQ-PLAN-002</t>
  </si>
  <si>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只引用真实 </t>
    </r>
    <r>
      <rPr>
        <sz val="9"/>
        <color rgb="FF24323D"/>
        <rFont val="Hiragino Sans GB"/>
        <family val="0"/>
        <charset val="1"/>
      </rPr>
      <t xml:space="preserve">Task/Test ID</t>
    </r>
    <r>
      <rPr>
        <sz val="9"/>
        <color rgb="FF24323D"/>
        <rFont val="Linux Libertine G"/>
        <family val="2"/>
      </rPr>
      <t xml:space="preserve">，且冻结顺序无循环</t>
    </r>
  </si>
  <si>
    <t xml:space="preserve">T-PLAN-GATE-001</t>
  </si>
  <si>
    <t xml:space="preserve">gate reference audit</t>
  </si>
  <si>
    <t xml:space="preserve">REQ-PLAN-003</t>
  </si>
  <si>
    <t xml:space="preserve">全部工作表使用区域明确采用实际可用中文字体</t>
  </si>
  <si>
    <t xml:space="preserve">T-PLAN-FONT-001</t>
  </si>
  <si>
    <t xml:space="preserve">Automated+Visual</t>
  </si>
  <si>
    <t xml:space="preserve">computed styles + Mac render</t>
  </si>
  <si>
    <t xml:space="preserve">测试矩阵</t>
  </si>
  <si>
    <r>
      <rPr>
        <i val="true"/>
        <sz val="10"/>
        <color rgb="FF34495E"/>
        <rFont val="Linux Libertine G"/>
        <family val="2"/>
      </rPr>
      <t xml:space="preserve">未来测试命令在实现时依据真实接口登记；当前不伪造文件名。</t>
    </r>
    <r>
      <rPr>
        <i val="true"/>
        <sz val="10"/>
        <color rgb="FF34495E"/>
        <rFont val="Hiragino Sans GB"/>
        <family val="0"/>
        <charset val="1"/>
      </rPr>
      <t xml:space="preserve">Last Result </t>
    </r>
    <r>
      <rPr>
        <i val="true"/>
        <sz val="10"/>
        <color rgb="FF34495E"/>
        <rFont val="Linux Libertine G"/>
        <family val="2"/>
      </rPr>
      <t xml:space="preserve">必须来自实际输出。</t>
    </r>
  </si>
  <si>
    <t xml:space="preserve">Test ID</t>
  </si>
  <si>
    <t xml:space="preserve">Requirement IDs</t>
  </si>
  <si>
    <t xml:space="preserve">Test Level</t>
  </si>
  <si>
    <t xml:space="preserve">Test Type</t>
  </si>
  <si>
    <t xml:space="preserve">Preconditions</t>
  </si>
  <si>
    <t xml:space="preserve">Input Path</t>
  </si>
  <si>
    <t xml:space="preserve">Expected Result</t>
  </si>
  <si>
    <t xml:space="preserve">Actual Command</t>
  </si>
  <si>
    <t xml:space="preserve">Environment</t>
  </si>
  <si>
    <t xml:space="preserve">Last Result</t>
  </si>
  <si>
    <t xml:space="preserve">Evidence</t>
  </si>
  <si>
    <t xml:space="preserve">Regression Risk</t>
  </si>
  <si>
    <t xml:space="preserve">Last Run Time</t>
  </si>
  <si>
    <t xml:space="preserve">Workbook</t>
  </si>
  <si>
    <t xml:space="preserve">Formula contract</t>
  </si>
  <si>
    <r>
      <rPr>
        <sz val="9"/>
        <color rgb="FF24323D"/>
        <rFont val="Linux Libertine G"/>
        <family val="2"/>
      </rPr>
      <t xml:space="preserve">工作簿已生成并由 </t>
    </r>
    <r>
      <rPr>
        <sz val="9"/>
        <color rgb="FF24323D"/>
        <rFont val="Hiragino Sans GB"/>
        <family val="0"/>
        <charset val="1"/>
      </rPr>
      <t xml:space="preserve">LibreOffice </t>
    </r>
    <r>
      <rPr>
        <sz val="9"/>
        <color rgb="FF24323D"/>
        <rFont val="Linux Libertine G"/>
        <family val="2"/>
      </rPr>
      <t xml:space="preserve">重算</t>
    </r>
  </si>
  <si>
    <r>
      <rPr>
        <sz val="9"/>
        <color rgb="FF24323D"/>
        <rFont val="Linux Libertine G"/>
        <family val="2"/>
      </rPr>
      <t xml:space="preserve">检查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、普通任务、空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、伪造 </t>
    </r>
    <r>
      <rPr>
        <sz val="9"/>
        <color rgb="FF24323D"/>
        <rFont val="Hiragino Sans GB"/>
        <family val="0"/>
        <charset val="1"/>
      </rPr>
      <t xml:space="preserve">DEC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Risk ID</t>
    </r>
    <r>
      <rPr>
        <sz val="9"/>
        <color rgb="FF24323D"/>
        <rFont val="Linux Libertine G"/>
        <family val="2"/>
      </rPr>
      <t xml:space="preserve">、未接受 </t>
    </r>
    <r>
      <rPr>
        <sz val="9"/>
        <color rgb="FF24323D"/>
        <rFont val="Hiragino Sans GB"/>
        <family val="0"/>
        <charset val="1"/>
      </rPr>
      <t xml:space="preserve">Decision</t>
    </r>
    <r>
      <rPr>
        <sz val="9"/>
        <color rgb="FF24323D"/>
        <rFont val="Linux Libertine G"/>
        <family val="2"/>
      </rPr>
      <t xml:space="preserve">、已接受 </t>
    </r>
    <r>
      <rPr>
        <sz val="9"/>
        <color rgb="FF24323D"/>
        <rFont val="Hiragino Sans GB"/>
        <family val="0"/>
        <charset val="1"/>
      </rPr>
      <t xml:space="preserve">Decision</t>
    </r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</si>
  <si>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计完成；仅绑定风险／决策表中 </t>
    </r>
    <r>
      <rPr>
        <sz val="9"/>
        <color rgb="FF24323D"/>
        <rFont val="Hiragino Sans GB"/>
        <family val="0"/>
        <charset val="1"/>
      </rPr>
      <t xml:space="preserve">Type=Decision </t>
    </r>
    <r>
      <rPr>
        <sz val="9"/>
        <color rgb="FF24323D"/>
        <rFont val="Linux Libertine G"/>
        <family val="2"/>
      </rPr>
      <t xml:space="preserve">且 </t>
    </r>
    <r>
      <rPr>
        <sz val="9"/>
        <color rgb="FF24323D"/>
        <rFont val="Hiragino Sans GB"/>
        <family val="0"/>
        <charset val="1"/>
      </rPr>
      <t xml:space="preserve">Status=ACCEPTED </t>
    </r>
    <r>
      <rPr>
        <sz val="9"/>
        <color rgb="FF24323D"/>
        <rFont val="Linux Libertine G"/>
        <family val="2"/>
      </rPr>
      <t xml:space="preserve">的真实记录时，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才从分母剔除</t>
    </r>
  </si>
  <si>
    <t xml:space="preserve">python3 /tmp/txwzs-plan-repair-002.CcKbTz/test-formula-contract.py</t>
  </si>
  <si>
    <t xml:space="preserve">Python standard library + LibreOffice cache</t>
  </si>
  <si>
    <t xml:space="preserve">/tmp/txwzs-plan-repair-002.CcKbTz/formula-contract-test.json</t>
  </si>
  <si>
    <t xml:space="preserve">计划状态失真</t>
  </si>
  <si>
    <t xml:space="preserve">Gate reference contract</t>
  </si>
  <si>
    <t xml:space="preserve">最终工作簿已生成</t>
  </si>
  <si>
    <r>
      <rPr>
        <sz val="9"/>
        <color rgb="FF24323D"/>
        <rFont val="Linux Libertine G"/>
        <family val="2"/>
      </rPr>
      <t xml:space="preserve">解析 </t>
    </r>
    <r>
      <rPr>
        <sz val="9"/>
        <color rgb="FF24323D"/>
        <rFont val="Hiragino Sans GB"/>
        <family val="0"/>
        <charset val="1"/>
      </rPr>
      <t xml:space="preserve">63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的 </t>
    </r>
    <r>
      <rPr>
        <sz val="9"/>
        <color rgb="FF24323D"/>
        <rFont val="Hiragino Sans GB"/>
        <family val="0"/>
        <charset val="1"/>
      </rPr>
      <t xml:space="preserve">Required Tasks/Tests </t>
    </r>
    <r>
      <rPr>
        <sz val="9"/>
        <color rgb="FF24323D"/>
        <rFont val="Linux Libertine G"/>
        <family val="2"/>
      </rPr>
      <t xml:space="preserve">并与中央任务、测试表双向比对</t>
    </r>
  </si>
  <si>
    <r>
      <rPr>
        <sz val="9"/>
        <color rgb="FF24323D"/>
        <rFont val="Linux Libertine G"/>
        <family val="2"/>
      </rPr>
      <t xml:space="preserve">无范围简写、说明文字、悬空 </t>
    </r>
    <r>
      <rPr>
        <sz val="9"/>
        <color rgb="FF24323D"/>
        <rFont val="Hiragino Sans GB"/>
        <family val="0"/>
        <charset val="1"/>
      </rPr>
      <t xml:space="preserve">ID </t>
    </r>
    <r>
      <rPr>
        <sz val="9"/>
        <color rgb="FF24323D"/>
        <rFont val="Linux Libertine G"/>
        <family val="2"/>
      </rPr>
      <t xml:space="preserve">或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冻结循环</t>
    </r>
  </si>
  <si>
    <t xml:space="preserve">PLAN-REPAIR-002 gate audit</t>
  </si>
  <si>
    <t xml:space="preserve">Python standard library</t>
  </si>
  <si>
    <t xml:space="preserve">REVIEW_003 evidence</t>
  </si>
  <si>
    <t xml:space="preserve">阶段门失真</t>
  </si>
  <si>
    <t xml:space="preserve">Chinese font contract</t>
  </si>
  <si>
    <r>
      <rPr>
        <sz val="9"/>
        <color rgb="FF24323D"/>
        <rFont val="Hiragino Sans GB"/>
        <family val="0"/>
        <charset val="1"/>
      </rPr>
      <t xml:space="preserve">Mac </t>
    </r>
    <r>
      <rPr>
        <sz val="9"/>
        <color rgb="FF24323D"/>
        <rFont val="Linux Libertine G"/>
        <family val="2"/>
      </rPr>
      <t xml:space="preserve">已安装 </t>
    </r>
    <r>
      <rPr>
        <sz val="9"/>
        <color rgb="FF24323D"/>
        <rFont val="Hiragino Sans GB"/>
        <family val="0"/>
        <charset val="1"/>
      </rPr>
      <t xml:space="preserve">Hiragino Sans GB</t>
    </r>
  </si>
  <si>
    <r>
      <rPr>
        <sz val="9"/>
        <color rgb="FF24323D"/>
        <rFont val="Linux Libertine G"/>
        <family val="2"/>
      </rPr>
      <t xml:space="preserve">检查全部有值单元格 </t>
    </r>
    <r>
      <rPr>
        <sz val="9"/>
        <color rgb="FF24323D"/>
        <rFont val="Hiragino Sans GB"/>
        <family val="0"/>
        <charset val="1"/>
      </rPr>
      <t xml:space="preserve">computed font </t>
    </r>
    <r>
      <rPr>
        <sz val="9"/>
        <color rgb="FF24323D"/>
        <rFont val="Linux Libertine G"/>
        <family val="2"/>
      </rPr>
      <t xml:space="preserve">并渲染 </t>
    </r>
    <r>
      <rPr>
        <sz val="9"/>
        <color rgb="FF24323D"/>
        <rFont val="Hiragino Sans GB"/>
        <family val="0"/>
        <charset val="1"/>
      </rPr>
      <t xml:space="preserve">13 </t>
    </r>
    <r>
      <rPr>
        <sz val="9"/>
        <color rgb="FF24323D"/>
        <rFont val="Linux Libertine G"/>
        <family val="2"/>
      </rPr>
      <t xml:space="preserve">张工作表</t>
    </r>
  </si>
  <si>
    <r>
      <rPr>
        <sz val="9"/>
        <color rgb="FF24323D"/>
        <rFont val="Linux Libertine G"/>
        <family val="2"/>
      </rPr>
      <t xml:space="preserve">全部使用区域采用 </t>
    </r>
    <r>
      <rPr>
        <sz val="9"/>
        <color rgb="FF24323D"/>
        <rFont val="Hiragino Sans GB"/>
        <family val="0"/>
        <charset val="1"/>
      </rPr>
      <t xml:space="preserve">Hiragino Sans GB</t>
    </r>
    <r>
      <rPr>
        <sz val="9"/>
        <color rgb="FF24323D"/>
        <rFont val="Linux Libertine G"/>
        <family val="2"/>
      </rPr>
      <t xml:space="preserve">；中文可见</t>
    </r>
  </si>
  <si>
    <t xml:space="preserve">PLAN-REPAIR-002 style audit + artifact render</t>
  </si>
  <si>
    <t xml:space="preserve">artifact-tool + OOXML</t>
  </si>
  <si>
    <t xml:space="preserve">REVIEW_003 visual evidence</t>
  </si>
  <si>
    <t xml:space="preserve">中文内容不可读</t>
  </si>
  <si>
    <t xml:space="preserve">T-V4-001</t>
  </si>
  <si>
    <t xml:space="preserve">State Contract</t>
  </si>
  <si>
    <t xml:space="preserve">Smoke</t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</si>
  <si>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V4</t>
    </r>
  </si>
  <si>
    <r>
      <rPr>
        <sz val="9"/>
        <color rgb="FF24323D"/>
        <rFont val="Linux Libertine G"/>
        <family val="2"/>
      </rPr>
      <t xml:space="preserve">真实 </t>
    </r>
    <r>
      <rPr>
        <sz val="9"/>
        <color rgb="FF24323D"/>
        <rFont val="Hiragino Sans GB"/>
        <family val="0"/>
        <charset val="1"/>
      </rPr>
      <t xml:space="preserve">InputEvent </t>
    </r>
    <r>
      <rPr>
        <sz val="9"/>
        <color rgb="FF24323D"/>
        <rFont val="Linux Libertine G"/>
        <family val="2"/>
      </rPr>
      <t xml:space="preserve">链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连续帧推进</t>
    </r>
  </si>
  <si>
    <t xml:space="preserve">150 explicit assertions + 1 summary PASS</t>
  </si>
  <si>
    <t xml:space="preserve">/Applications/Godot.app/Contents/MacOS/Godot --headless --path &lt;repo&gt; -s res://tests/run_blackstone_playable_mvp_smoke.gd</t>
  </si>
  <si>
    <t xml:space="preserve">Godot 4.5.1</t>
  </si>
  <si>
    <r>
      <rPr>
        <sz val="9"/>
        <color rgb="FF24323D"/>
        <rFont val="Hiragino Sans GB"/>
        <family val="0"/>
        <charset val="1"/>
      </rPr>
      <t xml:space="preserve">/tmp/txwzs-v4-milestone-closure.fD2A6P/blackstone.log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TXWZS_V4_MILESTONE_CLOSURE_001.md</t>
    </r>
  </si>
  <si>
    <t xml:space="preserve">高</t>
  </si>
  <si>
    <t xml:space="preserve">V4-G0,V4-G1,V4-G2,V4-G3,V4-G4,V4-G5</t>
  </si>
  <si>
    <t xml:space="preserve">T-V4-002</t>
  </si>
  <si>
    <t xml:space="preserve">Full tracked runners</t>
  </si>
  <si>
    <r>
      <rPr>
        <sz val="9"/>
        <color rgb="FF24323D"/>
        <rFont val="Linux Libertine G"/>
        <family val="2"/>
      </rPr>
      <t xml:space="preserve">排除 </t>
    </r>
    <r>
      <rPr>
        <sz val="9"/>
        <color rgb="FF24323D"/>
        <rFont val="Hiragino Sans GB"/>
        <family val="0"/>
        <charset val="1"/>
      </rPr>
      <t xml:space="preserve">untracked S1A.2 runner</t>
    </r>
  </si>
  <si>
    <r>
      <rPr>
        <sz val="9"/>
        <color rgb="FF24323D"/>
        <rFont val="Linux Libertine G"/>
        <family val="2"/>
      </rPr>
      <t xml:space="preserve">运行 </t>
    </r>
    <r>
      <rPr>
        <sz val="9"/>
        <color rgb="FF24323D"/>
        <rFont val="Hiragino Sans GB"/>
        <family val="0"/>
        <charset val="1"/>
      </rPr>
      <t xml:space="preserve">Git tracked run_*_smoke.gd</t>
    </r>
  </si>
  <si>
    <t xml:space="preserve">27/27, 1515 PASS lines, 0 error signatures</t>
  </si>
  <si>
    <t xml:space="preserve">for runner in $(git ls-files 'tests/run_*_smoke.gd')</t>
  </si>
  <si>
    <t xml:space="preserve">Physical mouse</t>
  </si>
  <si>
    <t xml:space="preserve">标准唯一窗口</t>
  </si>
  <si>
    <t xml:space="preserve">取消→失败→援军胜利→回城重试</t>
  </si>
  <si>
    <t xml:space="preserve">用户实体确认且版本身份明确</t>
  </si>
  <si>
    <t xml:space="preserve">./RUN_CURRENT_TXWZS.command + current-scene 1152x648 eight-state gate</t>
  </si>
  <si>
    <t xml:space="preserve">macOS GUI</t>
  </si>
  <si>
    <t xml:space="preserve">PASS_USER_MILESTONE_ACCEPTANCE</t>
  </si>
  <si>
    <r>
      <rPr>
        <sz val="9"/>
        <color rgb="FF24323D"/>
        <rFont val="Linux Libertine G"/>
        <family val="2"/>
      </rPr>
      <t xml:space="preserve">用户 </t>
    </r>
    <r>
      <rPr>
        <sz val="9"/>
        <color rgb="FF24323D"/>
        <rFont val="Hiragino Sans GB"/>
        <family val="0"/>
        <charset val="1"/>
      </rPr>
      <t xml:space="preserve">2026-07-30 </t>
    </r>
    <r>
      <rPr>
        <sz val="9"/>
        <color rgb="FF24323D"/>
        <rFont val="Linux Libertine G"/>
        <family val="2"/>
      </rPr>
      <t xml:space="preserve">明确接受 </t>
    </r>
    <r>
      <rPr>
        <sz val="9"/>
        <color rgb="FF24323D"/>
        <rFont val="Hiragino Sans GB"/>
        <family val="0"/>
        <charset val="1"/>
      </rPr>
      <t xml:space="preserve">Review 002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/tmp/txwzs-v4-milestone-closure.fD2A6P/01-default.png…08-reenter.png</t>
    </r>
  </si>
  <si>
    <t xml:space="preserve">V4-G0,V4-G6</t>
  </si>
  <si>
    <t xml:space="preserve">Static</t>
  </si>
  <si>
    <t xml:space="preserve">Hash/diff</t>
  </si>
  <si>
    <t xml:space="preserve">已记录开始哈希</t>
  </si>
  <si>
    <t xml:space="preserve">前后比较保护文件</t>
  </si>
  <si>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个哈希完全一致</t>
    </r>
  </si>
  <si>
    <t xml:space="preserve">shasum -a 256 &lt;8 paths&gt;; git diff --check</t>
  </si>
  <si>
    <t xml:space="preserve">macOS</t>
  </si>
  <si>
    <r>
      <rPr>
        <sz val="9"/>
        <color rgb="FF24323D"/>
        <rFont val="Hiragino Sans GB"/>
        <family val="0"/>
        <charset val="1"/>
      </rPr>
      <t xml:space="preserve">TXWZS_V4_MILESTONE_CLOSURE_001.md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git diff --check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final protected status</t>
    </r>
  </si>
  <si>
    <t xml:space="preserve">T-REG-001</t>
  </si>
  <si>
    <t xml:space="preserve">ALL</t>
  </si>
  <si>
    <t xml:space="preserve">Tracked full suite</t>
  </si>
  <si>
    <r>
      <rPr>
        <sz val="9"/>
        <color rgb="FF24323D"/>
        <rFont val="Linux Libertine G"/>
        <family val="2"/>
      </rPr>
      <t xml:space="preserve">排除 </t>
    </r>
    <r>
      <rPr>
        <sz val="9"/>
        <color rgb="FF24323D"/>
        <rFont val="Hiragino Sans GB"/>
        <family val="0"/>
        <charset val="1"/>
      </rPr>
      <t xml:space="preserve">protected untracked S1A.2 runner</t>
    </r>
  </si>
  <si>
    <r>
      <rPr>
        <sz val="9"/>
        <color rgb="FF24323D"/>
        <rFont val="Linux Libertine G"/>
        <family val="2"/>
      </rPr>
      <t xml:space="preserve">运行全部 </t>
    </r>
    <r>
      <rPr>
        <sz val="9"/>
        <color rgb="FF24323D"/>
        <rFont val="Hiragino Sans GB"/>
        <family val="0"/>
        <charset val="1"/>
      </rPr>
      <t xml:space="preserve">Git tracked smoke</t>
    </r>
  </si>
  <si>
    <r>
      <rPr>
        <sz val="9"/>
        <color rgb="FF24323D"/>
        <rFont val="Hiragino Sans GB"/>
        <family val="0"/>
        <charset val="1"/>
      </rPr>
      <t xml:space="preserve">27/27 runner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1515 PASS lines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0 error signatures</t>
    </r>
  </si>
  <si>
    <t xml:space="preserve">REQ-ARCH-002,REQ-V5-014</t>
  </si>
  <si>
    <t xml:space="preserve">Independent agent</t>
  </si>
  <si>
    <t xml:space="preserve">实现证据完整</t>
  </si>
  <si>
    <r>
      <rPr>
        <sz val="9"/>
        <color rgb="FF24323D"/>
        <rFont val="Linux Libertine G"/>
        <family val="2"/>
      </rPr>
      <t xml:space="preserve">独立复跑关键测试和 </t>
    </r>
    <r>
      <rPr>
        <sz val="9"/>
        <color rgb="FF24323D"/>
        <rFont val="Hiragino Sans GB"/>
        <family val="0"/>
        <charset val="1"/>
      </rPr>
      <t xml:space="preserve">diff/contract </t>
    </r>
    <r>
      <rPr>
        <sz val="9"/>
        <color rgb="FF24323D"/>
        <rFont val="Linux Libertine G"/>
        <family val="2"/>
      </rPr>
      <t xml:space="preserve">审查</t>
    </r>
  </si>
  <si>
    <r>
      <rPr>
        <sz val="9"/>
        <color rgb="FF24323D"/>
        <rFont val="Linux Libertine G"/>
        <family val="2"/>
      </rPr>
      <t xml:space="preserve">无 </t>
    </r>
    <r>
      <rPr>
        <sz val="9"/>
        <color rgb="FF24323D"/>
        <rFont val="Hiragino Sans GB"/>
        <family val="0"/>
        <charset val="1"/>
      </rPr>
      <t xml:space="preserve">blocking finding</t>
    </r>
  </si>
  <si>
    <t xml:space="preserve">review task packet</t>
  </si>
  <si>
    <t xml:space="preserve">Architecture Review</t>
  </si>
  <si>
    <t xml:space="preserve">Ownership contract</t>
  </si>
  <si>
    <r>
      <rPr>
        <sz val="9"/>
        <color rgb="FF24323D"/>
        <rFont val="Hiragino Sans GB"/>
        <family val="0"/>
        <charset val="1"/>
      </rPr>
      <t xml:space="preserve">V7 VERIFIED </t>
    </r>
    <r>
      <rPr>
        <sz val="9"/>
        <color rgb="FF24323D"/>
        <rFont val="Linux Libertine G"/>
        <family val="2"/>
      </rPr>
      <t xml:space="preserve">且 </t>
    </r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状态合同候选已形成</t>
    </r>
  </si>
  <si>
    <r>
      <rPr>
        <sz val="9"/>
        <color rgb="FF24323D"/>
        <rFont val="Linux Libertine G"/>
        <family val="2"/>
      </rPr>
      <t xml:space="preserve">只读检查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／战略状态／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写入者与失败写回路径</t>
    </r>
  </si>
  <si>
    <r>
      <rPr>
        <sz val="9"/>
        <color rgb="FF24323D"/>
        <rFont val="Linux Libertine G"/>
        <family val="2"/>
      </rPr>
      <t xml:space="preserve">不存在第二套城市真相；全部失败保留持久布局；未实现前保持 </t>
    </r>
    <r>
      <rPr>
        <sz val="9"/>
        <color rgb="FF24323D"/>
        <rFont val="Hiragino Sans GB"/>
        <family val="0"/>
        <charset val="1"/>
      </rPr>
      <t xml:space="preserve">NOT_RUN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</si>
  <si>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开工时由独立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绑定真实代码、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、测试命令和证据</t>
    </r>
  </si>
  <si>
    <t xml:space="preserve">Planned</t>
  </si>
  <si>
    <t xml:space="preserve">Git/code ownership audit + V5_SINGLE_UNIT_WAR_FOUNDATION_CONTRACT_V0.md</t>
  </si>
  <si>
    <t xml:space="preserve">Godot 4.5.1 / stage fixture</t>
  </si>
  <si>
    <r>
      <rPr>
        <sz val="9"/>
        <color rgb="FF24323D"/>
        <rFont val="Linux Libertine G"/>
        <family val="0"/>
        <charset val="1"/>
      </rPr>
      <t xml:space="preserve">docs/architecture/V5_SINGLE_UNIT_WAR_FOUNDATION_CONTRACT_V0.md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Linux Libertine G"/>
        <family val="0"/>
        <charset val="1"/>
      </rPr>
      <t xml:space="preserve">TXWZS_V5_SINGLE_UNIT_GARRISON_SLICE_001.md</t>
    </r>
  </si>
  <si>
    <t xml:space="preserve">/Applications/Godot.app/Contents/MacOS/Godot --headless --path &lt;repo&gt; -s res://tests/run_v5_single_unit_garrison_smoke.gd</t>
  </si>
  <si>
    <r>
      <rPr>
        <sz val="9"/>
        <color rgb="FF24323D"/>
        <rFont val="Linux Libertine G"/>
        <family val="0"/>
        <charset val="1"/>
      </rPr>
      <t xml:space="preserve">/tmp/txwzs-v5-single-unit-garrison.20260730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Linux Libertine G"/>
        <family val="0"/>
        <charset val="1"/>
      </rPr>
      <t xml:space="preserve">TXWZS_V5_SINGLE_UNIT_GARRISON_SLICE_001.md</t>
    </r>
  </si>
  <si>
    <t xml:space="preserve">阶段实施时依据真实接口登记实际命令</t>
  </si>
  <si>
    <t xml:space="preserve">REQ-V5-004,REQ-V5-005</t>
  </si>
  <si>
    <t xml:space="preserve">REQ-V5-003,REQ-V5-006,REQ-V5-007,REQ-V5-008</t>
  </si>
  <si>
    <t xml:space="preserve">REQ-V5-008,REQ-V5-009</t>
  </si>
  <si>
    <t xml:space="preserve">REQ-V5-010,REQ-V5-011,REQ-V5-012</t>
  </si>
  <si>
    <t xml:space="preserve">REQ-V5-006,REQ-V5-011,REQ-V5-013</t>
  </si>
  <si>
    <t xml:space="preserve">REQ-V6-001,REQ-V6-002,REQ-V6-003,REQ-V6-004</t>
  </si>
  <si>
    <t xml:space="preserve">阶段执行记录</t>
  </si>
  <si>
    <r>
      <rPr>
        <i val="true"/>
        <sz val="10"/>
        <color rgb="FF34495E"/>
        <rFont val="Linux Libertine G"/>
        <family val="2"/>
      </rPr>
      <t xml:space="preserve">每轮保留真实命令、退出码、断言统计、</t>
    </r>
    <r>
      <rPr>
        <i val="true"/>
        <sz val="10"/>
        <color rgb="FF34495E"/>
        <rFont val="Hiragino Sans GB"/>
        <family val="0"/>
        <charset val="1"/>
      </rPr>
      <t xml:space="preserve">Git </t>
    </r>
    <r>
      <rPr>
        <i val="true"/>
        <sz val="10"/>
        <color rgb="FF34495E"/>
        <rFont val="Linux Libertine G"/>
        <family val="2"/>
      </rPr>
      <t xml:space="preserve">状态、</t>
    </r>
    <r>
      <rPr>
        <i val="true"/>
        <sz val="10"/>
        <color rgb="FF34495E"/>
        <rFont val="Hiragino Sans GB"/>
        <family val="0"/>
        <charset val="1"/>
      </rPr>
      <t xml:space="preserve">patch/commit </t>
    </r>
    <r>
      <rPr>
        <i val="true"/>
        <sz val="10"/>
        <color rgb="FF34495E"/>
        <rFont val="Linux Libertine G"/>
        <family val="2"/>
      </rPr>
      <t xml:space="preserve">和限制。</t>
    </r>
  </si>
  <si>
    <t xml:space="preserve">Run ID</t>
  </si>
  <si>
    <t xml:space="preserve">Date</t>
  </si>
  <si>
    <r>
      <rPr>
        <b val="true"/>
        <sz val="10"/>
        <color rgb="FFFFFFFF"/>
        <rFont val="Hiragino Sans GB"/>
        <family val="0"/>
        <charset val="1"/>
      </rPr>
      <t xml:space="preserve">Agent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Model</t>
    </r>
  </si>
  <si>
    <t xml:space="preserve">Target Task IDs</t>
  </si>
  <si>
    <t xml:space="preserve">Start Git State</t>
  </si>
  <si>
    <t xml:space="preserve">Files Changed</t>
  </si>
  <si>
    <t xml:space="preserve">Commands Run</t>
  </si>
  <si>
    <t xml:space="preserve">Tests Run</t>
  </si>
  <si>
    <t xml:space="preserve">Result</t>
  </si>
  <si>
    <t xml:space="preserve">Known Limitations</t>
  </si>
  <si>
    <t xml:space="preserve">End Git State</t>
  </si>
  <si>
    <r>
      <rPr>
        <b val="true"/>
        <sz val="10"/>
        <color rgb="FFFFFFFF"/>
        <rFont val="Hiragino Sans GB"/>
        <family val="0"/>
        <charset val="1"/>
      </rPr>
      <t xml:space="preserve">Patch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Commit</t>
    </r>
  </si>
  <si>
    <t xml:space="preserve">Next Task</t>
  </si>
  <si>
    <t xml:space="preserve">User Decision Required</t>
  </si>
  <si>
    <t xml:space="preserve">RUN-PLAN-001</t>
  </si>
  <si>
    <t xml:space="preserve">Main Codex / GPT-5.6</t>
  </si>
  <si>
    <t xml:space="preserve">main@64f37bd; 3M+8U; staged 0</t>
  </si>
  <si>
    <t xml:space="preserve">docs/planning/*; docs/reviews/* only</t>
  </si>
  <si>
    <r>
      <rPr>
        <sz val="9"/>
        <color rgb="FF24323D"/>
        <rFont val="Hiragino Sans GB"/>
        <family val="0"/>
        <charset val="1"/>
      </rPr>
      <t xml:space="preserve">Git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artifact-tool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LibreOffice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Gate/font/mirror audits</t>
    </r>
  </si>
  <si>
    <t xml:space="preserve">规划控制检查；未运行游戏实现</t>
  </si>
  <si>
    <t xml:space="preserve">S1A.2 excluded; no gameplay modifications</t>
  </si>
  <si>
    <t xml:space="preserve">same original dirty + planning outputs</t>
  </si>
  <si>
    <t xml:space="preserve">/tmp/txwzs-plan-repair-002 backup</t>
  </si>
  <si>
    <r>
      <rPr>
        <sz val="9"/>
        <color rgb="FF24323D"/>
        <rFont val="Linux Libertine G"/>
        <family val="2"/>
      </rPr>
      <t xml:space="preserve">用户已接受 </t>
    </r>
    <r>
      <rPr>
        <sz val="9"/>
        <color rgb="FF24323D"/>
        <rFont val="Hiragino Sans GB"/>
        <family val="0"/>
        <charset val="1"/>
      </rPr>
      <t xml:space="preserve">REVIEW_003</t>
    </r>
    <r>
      <rPr>
        <sz val="9"/>
        <color rgb="FF24323D"/>
        <rFont val="Linux Libertine G"/>
        <family val="2"/>
      </rPr>
      <t xml:space="preserve">；只释放独立技术复查，不执行 </t>
    </r>
    <r>
      <rPr>
        <sz val="9"/>
        <color rgb="FF24323D"/>
        <rFont val="Hiragino Sans GB"/>
        <family val="0"/>
        <charset val="1"/>
      </rPr>
      <t xml:space="preserve">V4</t>
    </r>
  </si>
  <si>
    <t xml:space="preserve">RUN-PLAN-STATE-SYNC-001</t>
  </si>
  <si>
    <t xml:space="preserve">PLAN-STATE-SYNC-001</t>
  </si>
  <si>
    <t xml:space="preserve">docs/planning/*; docs/reviews/TXWZS_MASTER_PLAN_STATE_SYNC_001.md</t>
  </si>
  <si>
    <r>
      <rPr>
        <sz val="9"/>
        <color rgb="FF24323D"/>
        <rFont val="Linux Libertine G"/>
        <family val="2"/>
      </rPr>
      <t xml:space="preserve">正式生成链、</t>
    </r>
    <r>
      <rPr>
        <sz val="9"/>
        <color rgb="FF24323D"/>
        <rFont val="Hiragino Sans GB"/>
        <family val="0"/>
        <charset val="1"/>
      </rPr>
      <t xml:space="preserve">LibreOffice </t>
    </r>
    <r>
      <rPr>
        <sz val="9"/>
        <color rgb="FF24323D"/>
        <rFont val="Linux Libertine G"/>
        <family val="2"/>
      </rPr>
      <t xml:space="preserve">重算、结构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映射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字体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镜像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哈希审计</t>
    </r>
  </si>
  <si>
    <t xml:space="preserve">规划控制状态同步；未运行游戏实现</t>
  </si>
  <si>
    <t xml:space="preserve">REVIEW_002/003 retained; V4/S1A.2 protected</t>
  </si>
  <si>
    <t xml:space="preserve">same original dirty + regenerated planning outputs</t>
  </si>
  <si>
    <t xml:space="preserve">/tmp/txwzs-plan-state-sync-001.XBUp9Q</t>
  </si>
  <si>
    <r>
      <rPr>
        <sz val="9"/>
        <color rgb="FF24323D"/>
        <rFont val="Linux Libertine G"/>
        <family val="2"/>
      </rPr>
      <t xml:space="preserve">下一轮才可执行 </t>
    </r>
    <r>
      <rPr>
        <sz val="9"/>
        <color rgb="FF24323D"/>
        <rFont val="Hiragino Sans GB"/>
        <family val="0"/>
        <charset val="1"/>
      </rPr>
      <t xml:space="preserve">V4-P5-T001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V4-P6/V5 </t>
    </r>
    <r>
      <rPr>
        <sz val="9"/>
        <color rgb="FF24323D"/>
        <rFont val="Linux Libertine G"/>
        <family val="2"/>
      </rPr>
      <t xml:space="preserve">不得开启</t>
    </r>
  </si>
  <si>
    <t xml:space="preserve">RUN-V4-P5-REVIEW-002</t>
  </si>
  <si>
    <t xml:space="preserve">Independent Codex / GPT-5.6</t>
  </si>
  <si>
    <t xml:space="preserve">main@64f37bd; 3M+8 protected U; staged 0; patch b3aec131…</t>
  </si>
  <si>
    <t xml:space="preserve">review report + mechanically synchronized planning controls only</t>
  </si>
  <si>
    <r>
      <rPr>
        <sz val="10"/>
        <rFont val="Arial"/>
        <family val="2"/>
        <charset val="1"/>
      </rPr>
      <t xml:space="preserve">Git/hash/diff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27 runners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editor/scenes/UID</t>
    </r>
    <r>
      <rPr>
        <sz val="10"/>
        <rFont val="Linux Libertine G"/>
        <family val="2"/>
      </rPr>
      <t xml:space="preserve">；正式 </t>
    </r>
    <r>
      <rPr>
        <sz val="10"/>
        <rFont val="Arial"/>
        <family val="2"/>
        <charset val="1"/>
      </rPr>
      <t xml:space="preserve">launcher</t>
    </r>
    <r>
      <rPr>
        <sz val="10"/>
        <rFont val="Linux Libertine G"/>
        <family val="2"/>
      </rPr>
      <t xml:space="preserve">；真实窗口；</t>
    </r>
    <r>
      <rPr>
        <sz val="10"/>
        <rFont val="Arial"/>
        <family val="2"/>
        <charset val="1"/>
      </rPr>
      <t xml:space="preserve">artifact-tool workbook audit</t>
    </r>
  </si>
  <si>
    <r>
      <rPr>
        <sz val="10"/>
        <rFont val="Arial"/>
        <family val="2"/>
        <charset val="1"/>
      </rPr>
      <t xml:space="preserve">V4 126 assertions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27/27 tracked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1490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all exit 0</t>
    </r>
  </si>
  <si>
    <t xml:space="preserve">ACCEPT_V4_P5_T001_READY_FOR_USER_STAGE_TEST</t>
  </si>
  <si>
    <t xml:space="preserve">T-V4-003 remains NOT_RUN; no user acceptance, freeze, commit, push, V5/V6</t>
  </si>
  <si>
    <t xml:space="preserve">same branch/HEAD/upstream/staged; V4/S1A.2/report hashes unchanged</t>
  </si>
  <si>
    <t xml:space="preserve">/tmp/txwzs-v4-p5-review-002.KefVHg</t>
  </si>
  <si>
    <r>
      <rPr>
        <sz val="10"/>
        <rFont val="Linux Libertine G"/>
        <family val="2"/>
      </rPr>
      <t xml:space="preserve">用户完成 </t>
    </r>
    <r>
      <rPr>
        <sz val="10"/>
        <rFont val="Arial"/>
        <family val="2"/>
        <charset val="1"/>
      </rPr>
      <t xml:space="preserve">5</t>
    </r>
    <r>
      <rPr>
        <sz val="10"/>
        <rFont val="Linux Libertine G"/>
        <family val="2"/>
      </rPr>
      <t xml:space="preserve">～</t>
    </r>
    <r>
      <rPr>
        <sz val="10"/>
        <rFont val="Arial"/>
        <family val="2"/>
        <charset val="1"/>
      </rPr>
      <t xml:space="preserve">10 </t>
    </r>
    <r>
      <rPr>
        <sz val="10"/>
        <rFont val="Linux Libertine G"/>
        <family val="2"/>
      </rPr>
      <t xml:space="preserve">分钟实体试玩并明确接受或拒绝</t>
    </r>
  </si>
  <si>
    <t xml:space="preserve">RUN-V4-MILESTONE-CLOSURE-001</t>
  </si>
  <si>
    <t xml:space="preserve">Main Codex / GPT-5.6 Sol</t>
  </si>
  <si>
    <t xml:space="preserve">codex/v4-milestone-closure@64f37bd; 10M + explained V4/C0/planning/report U + 8 protected S1A.2 U; staged 0</t>
  </si>
  <si>
    <t xml:space="preserve">V4/C0 candidate + reports + state + planning mirrors + planning .gdignore</t>
  </si>
  <si>
    <r>
      <rPr>
        <sz val="10"/>
        <rFont val="Arial"/>
        <family val="2"/>
        <charset val="1"/>
      </rPr>
      <t xml:space="preserve">formal launcher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eight-state 1152×648 capture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Blackstone/C0/tracked/all-present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main/Blackstone/editor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diff/error scans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artifact-tool workbook audit</t>
    </r>
  </si>
  <si>
    <r>
      <rPr>
        <sz val="10"/>
        <rFont val="Arial"/>
        <family val="2"/>
        <charset val="1"/>
      </rPr>
      <t xml:space="preserve">Blackstone 150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C0 59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tracked 27/27 1515 PASS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all-present 29/29 1686 PASS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all exits 0</t>
    </r>
  </si>
  <si>
    <t xml:space="preserve">TXWZS_V4_MILESTONE_CLOSURE_001_ACCEPTED</t>
  </si>
  <si>
    <t xml:space="preserve">S1A.2 remains protected/unaccepted; no push/deploy; V5 persistence must start with P0 contract</t>
  </si>
  <si>
    <t xml:space="preserve">V4 scope frozen in local checkpoint; only 8 protected S1A.2 files remain outside</t>
  </si>
  <si>
    <t xml:space="preserve">local V4 checkpoint commit + parent</t>
  </si>
  <si>
    <t xml:space="preserve">No; V4 accepted and V5 baseline investigation authorized</t>
  </si>
  <si>
    <t xml:space="preserve">RUN-V5-P0-P1-IMPLEMENTATION-001</t>
  </si>
  <si>
    <t xml:space="preserve">V5-P0-T001..T005,V5-P1-T001..T006</t>
  </si>
  <si>
    <t xml:space="preserve">codex/v4-milestone-closure@5357c28; only 8 protected S1A.2 U</t>
  </si>
  <si>
    <t xml:space="preserve">V5 contract; GarrisonState; ConstructionController adapter/read model; city UI; V5 runner; state/report/planning</t>
  </si>
  <si>
    <r>
      <rPr>
        <sz val="10"/>
        <rFont val="Arial"/>
        <family val="2"/>
      </rPr>
      <t xml:space="preserve">Git/code audit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V5 runner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30 all-present runners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formal 1152×648 capture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editor/scene/diff/error scans</t>
    </r>
  </si>
  <si>
    <r>
      <rPr>
        <sz val="10"/>
        <rFont val="Arial"/>
        <family val="2"/>
      </rPr>
      <t xml:space="preserve">V5 25 explicit + summary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all-present 30/30, 1740 PASS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all exit 0</t>
    </r>
  </si>
  <si>
    <t xml:space="preserve">V5_P0_P1_SINGLE_UNIT_GARRISON_IMPLEMENTED_PENDING_PACKAGE_REVIEW</t>
  </si>
  <si>
    <t xml:space="preserve">No save schema/ArmyState/second unit; S1A.2 protected; G0/G1/G2 not self-verified</t>
  </si>
  <si>
    <t xml:space="preserve">V5 candidate isolated from 8 protected S1A.2 files</t>
  </si>
  <si>
    <t xml:space="preserve">V4 checkpoint 5357c28 + V5 local slice commit</t>
  </si>
  <si>
    <t xml:space="preserve">V5-G0/G1/G2 package review</t>
  </si>
  <si>
    <t xml:space="preserve">Independent package verdict required before VERIFIED</t>
  </si>
  <si>
    <t xml:space="preserve">独立复查记录</t>
  </si>
  <si>
    <r>
      <rPr>
        <i val="true"/>
        <sz val="10"/>
        <color rgb="FF34495E"/>
        <rFont val="Linux Libertine G"/>
        <family val="2"/>
      </rPr>
      <t xml:space="preserve">复查者默认只读；实现者不得自行把 </t>
    </r>
    <r>
      <rPr>
        <i val="true"/>
        <sz val="10"/>
        <color rgb="FF34495E"/>
        <rFont val="Hiragino Sans GB"/>
        <family val="0"/>
        <charset val="1"/>
      </rPr>
      <t xml:space="preserve">IMPLEMENTED_PENDING_REVIEW </t>
    </r>
    <r>
      <rPr>
        <i val="true"/>
        <sz val="10"/>
        <color rgb="FF34495E"/>
        <rFont val="Linux Libertine G"/>
        <family val="2"/>
      </rPr>
      <t xml:space="preserve">改为 </t>
    </r>
    <r>
      <rPr>
        <i val="true"/>
        <sz val="10"/>
        <color rgb="FF34495E"/>
        <rFont val="Hiragino Sans GB"/>
        <family val="0"/>
        <charset val="1"/>
      </rPr>
      <t xml:space="preserve">VERIFIED</t>
    </r>
    <r>
      <rPr>
        <i val="true"/>
        <sz val="10"/>
        <color rgb="FF34495E"/>
        <rFont val="Linux Libertine G"/>
        <family val="2"/>
      </rPr>
      <t xml:space="preserve">。</t>
    </r>
  </si>
  <si>
    <t xml:space="preserve">Review ID</t>
  </si>
  <si>
    <t xml:space="preserve">Reviewer Agent</t>
  </si>
  <si>
    <t xml:space="preserve">Reviewed Task IDs</t>
  </si>
  <si>
    <r>
      <rPr>
        <b val="true"/>
        <sz val="10"/>
        <color rgb="FFFFFFFF"/>
        <rFont val="Hiragino Sans GB"/>
        <family val="0"/>
        <charset val="1"/>
      </rPr>
      <t xml:space="preserve">Reviewed Diff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Commit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Patch</t>
    </r>
  </si>
  <si>
    <t xml:space="preserve">Tests Re-run</t>
  </si>
  <si>
    <t xml:space="preserve">Findings</t>
  </si>
  <si>
    <t xml:space="preserve">Severity</t>
  </si>
  <si>
    <t xml:space="preserve">Blocking</t>
  </si>
  <si>
    <t xml:space="preserve">Reproduction</t>
  </si>
  <si>
    <t xml:space="preserve">Suggested Direction</t>
  </si>
  <si>
    <t xml:space="preserve">Implementer Response</t>
  </si>
  <si>
    <t xml:space="preserve">Re-review Result</t>
  </si>
  <si>
    <t xml:space="preserve">Final Verdict</t>
  </si>
  <si>
    <t xml:space="preserve">RVW-PLAN-001</t>
  </si>
  <si>
    <t xml:space="preserve">/root/master_plan_review_fast</t>
  </si>
  <si>
    <t xml:space="preserve">Master plan 0.1.0-draft → 0.1.0-review1</t>
  </si>
  <si>
    <r>
      <rPr>
        <sz val="9"/>
        <color rgb="FF24323D"/>
        <rFont val="Hiragino Sans GB"/>
        <family val="0"/>
        <charset val="1"/>
      </rPr>
      <t xml:space="preserve">main@64f37bd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MD+5 CSV mirror manifest SHA-256 c21c3b4e95d9026d48b26c8b799ffd8afc7ba48958ddb31ef43098d07a5e8503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/tmp/txwzs-plan-review1-mirror-manifest.sha256</t>
    </r>
  </si>
  <si>
    <t xml:space="preserve">architecture, facts, dependencies, rollback, test registry, reviewer identity</t>
  </si>
  <si>
    <r>
      <rPr>
        <sz val="9"/>
        <color rgb="FF24323D"/>
        <rFont val="Linux Libertine G"/>
        <family val="2"/>
      </rPr>
      <t xml:space="preserve">仓库基线、</t>
    </r>
    <r>
      <rPr>
        <sz val="9"/>
        <color rgb="FF24323D"/>
        <rFont val="Hiragino Sans GB"/>
        <family val="0"/>
        <charset val="1"/>
      </rPr>
      <t xml:space="preserve">97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test reference </t>
    </r>
    <r>
      <rPr>
        <sz val="9"/>
        <color rgb="FF24323D"/>
        <rFont val="Linux Libertine G"/>
        <family val="2"/>
      </rPr>
      <t xml:space="preserve">映射与 </t>
    </r>
    <r>
      <rPr>
        <sz val="9"/>
        <color rgb="FF24323D"/>
        <rFont val="Hiragino Sans GB"/>
        <family val="0"/>
        <charset val="1"/>
      </rPr>
      <t xml:space="preserve">manifest </t>
    </r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OK</t>
    </r>
    <r>
      <rPr>
        <sz val="9"/>
        <color rgb="FF24323D"/>
        <rFont val="Linux Libertine G"/>
        <family val="2"/>
      </rPr>
      <t xml:space="preserve">；未独立复跑全量 </t>
    </r>
    <r>
      <rPr>
        <sz val="9"/>
        <color rgb="FF24323D"/>
        <rFont val="Hiragino Sans GB"/>
        <family val="0"/>
        <charset val="1"/>
      </rPr>
      <t xml:space="preserve">Godot runner</t>
    </r>
  </si>
  <si>
    <r>
      <rPr>
        <sz val="9"/>
        <color rgb="FF24323D"/>
        <rFont val="Hiragino Sans GB"/>
        <family val="0"/>
        <charset val="1"/>
      </rPr>
      <t xml:space="preserve">PLAN-001</t>
    </r>
    <r>
      <rPr>
        <sz val="9"/>
        <color rgb="FF24323D"/>
        <rFont val="Linux Libertine G"/>
        <family val="2"/>
      </rPr>
      <t xml:space="preserve">～</t>
    </r>
    <r>
      <rPr>
        <sz val="9"/>
        <color rgb="FF24323D"/>
        <rFont val="Hiragino Sans GB"/>
        <family val="0"/>
        <charset val="1"/>
      </rPr>
      <t xml:space="preserve">006 </t>
    </r>
    <r>
      <rPr>
        <sz val="9"/>
        <color rgb="FF24323D"/>
        <rFont val="Linux Libertine G"/>
        <family val="2"/>
      </rPr>
      <t xml:space="preserve">全部关闭</t>
    </r>
  </si>
  <si>
    <t xml:space="preserve">NONE</t>
  </si>
  <si>
    <t xml:space="preserve">NO</t>
  </si>
  <si>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审查任务 </t>
    </r>
    <r>
      <rPr>
        <sz val="9"/>
        <color rgb="FF24323D"/>
        <rFont val="Hiragino Sans GB"/>
        <family val="0"/>
        <charset val="1"/>
      </rPr>
      <t xml:space="preserve">/root/master_plan_review_fast</t>
    </r>
    <r>
      <rPr>
        <sz val="9"/>
        <color rgb="FF24323D"/>
        <rFont val="Linux Libertine G"/>
        <family val="2"/>
      </rPr>
      <t xml:space="preserve">；两轮复审</t>
    </r>
  </si>
  <si>
    <r>
      <rPr>
        <sz val="9"/>
        <color rgb="FF24323D"/>
        <rFont val="Linux Libertine G"/>
        <family val="2"/>
      </rPr>
      <t xml:space="preserve">修正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集合边界、精确 </t>
    </r>
    <r>
      <rPr>
        <sz val="9"/>
        <color rgb="FF24323D"/>
        <rFont val="Hiragino Sans GB"/>
        <family val="0"/>
        <charset val="1"/>
      </rPr>
      <t xml:space="preserve">patch </t>
    </r>
    <r>
      <rPr>
        <sz val="9"/>
        <color rgb="FF24323D"/>
        <rFont val="Linux Libertine G"/>
        <family val="2"/>
      </rPr>
      <t xml:space="preserve">恢复流程、测试注册表、远期任务粒度、证据标签和复审绑定</t>
    </r>
  </si>
  <si>
    <r>
      <rPr>
        <sz val="9"/>
        <color rgb="FF24323D"/>
        <rFont val="Linux Libertine G"/>
        <family val="2"/>
      </rPr>
      <t xml:space="preserve">全部采纳；第一次复审残留 </t>
    </r>
    <r>
      <rPr>
        <sz val="9"/>
        <color rgb="FF24323D"/>
        <rFont val="Hiragino Sans GB"/>
        <family val="0"/>
        <charset val="1"/>
      </rPr>
      <t xml:space="preserve">PLAN-002/004/006 </t>
    </r>
    <r>
      <rPr>
        <sz val="9"/>
        <color rgb="FF24323D"/>
        <rFont val="Linux Libertine G"/>
        <family val="2"/>
      </rPr>
      <t xml:space="preserve">已继续修正</t>
    </r>
  </si>
  <si>
    <r>
      <rPr>
        <sz val="9"/>
        <color rgb="FF24323D"/>
        <rFont val="Hiragino Sans GB"/>
        <family val="0"/>
        <charset val="1"/>
      </rPr>
      <t xml:space="preserve">Round 1 REQUEST_CHANGES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Round 2 ALL CLOSED</t>
    </r>
  </si>
  <si>
    <t xml:space="preserve">ACCEPTED / ALL_PLAN_FINDINGS_CLOSED</t>
  </si>
  <si>
    <t xml:space="preserve">RVW-PLAN-002</t>
  </si>
  <si>
    <t xml:space="preserve">/root/master_plan_review_final</t>
  </si>
  <si>
    <t xml:space="preserve">PLAN-REPAIR-001 candidate → final</t>
  </si>
  <si>
    <r>
      <rPr>
        <sz val="9"/>
        <color rgb="FF24323D"/>
        <rFont val="Hiragino Sans GB"/>
        <family val="0"/>
        <charset val="1"/>
      </rPr>
      <t xml:space="preserve">main@64f37bd</t>
    </r>
    <r>
      <rPr>
        <sz val="9"/>
        <color rgb="FF24323D"/>
        <rFont val="Linux Libertine G"/>
        <family val="2"/>
      </rPr>
      <t xml:space="preserve">；报告 </t>
    </r>
    <r>
      <rPr>
        <sz val="9"/>
        <color rgb="FF24323D"/>
        <rFont val="Hiragino Sans GB"/>
        <family val="0"/>
        <charset val="1"/>
      </rPr>
      <t xml:space="preserve">docs/reviews/TXWZS_MASTER_PLAN_REVIEW_002.md</t>
    </r>
    <r>
      <rPr>
        <sz val="9"/>
        <color rgb="FF24323D"/>
        <rFont val="Linux Libertine G"/>
        <family val="2"/>
      </rPr>
      <t xml:space="preserve">；最终精确哈希只记录在外部报告</t>
    </r>
  </si>
  <si>
    <t xml:space="preserve">gate instances, formulas, bidirectional traceability, frozen panes, Chinese rendering, mirrors</t>
  </si>
  <si>
    <r>
      <rPr>
        <sz val="9"/>
        <color rgb="FF24323D"/>
        <rFont val="Linux Libertine G"/>
        <family val="2"/>
      </rPr>
      <t xml:space="preserve">候选内容复查后由主 </t>
    </r>
    <r>
      <rPr>
        <sz val="9"/>
        <color rgb="FF24323D"/>
        <rFont val="Hiragino Sans GB"/>
        <family val="0"/>
        <charset val="1"/>
      </rPr>
      <t xml:space="preserve">Agent</t>
    </r>
    <r>
      <rPr>
        <sz val="9"/>
        <color rgb="FF24323D"/>
        <rFont val="Linux Libertine G"/>
        <family val="2"/>
      </rPr>
      <t xml:space="preserve">处置 </t>
    </r>
    <r>
      <rPr>
        <sz val="9"/>
        <color rgb="FF24323D"/>
        <rFont val="Hiragino Sans GB"/>
        <family val="0"/>
        <charset val="1"/>
      </rPr>
      <t xml:space="preserve">findings</t>
    </r>
    <r>
      <rPr>
        <sz val="9"/>
        <color rgb="FF24323D"/>
        <rFont val="Linux Libertine G"/>
        <family val="2"/>
      </rPr>
      <t xml:space="preserve">；最终只读复审绑定 </t>
    </r>
    <r>
      <rPr>
        <sz val="9"/>
        <color rgb="FF24323D"/>
        <rFont val="Hiragino Sans GB"/>
        <family val="0"/>
        <charset val="1"/>
      </rPr>
      <t xml:space="preserve">XLSX/MD/5 CSV/ZIP </t>
    </r>
    <r>
      <rPr>
        <sz val="9"/>
        <color rgb="FF24323D"/>
        <rFont val="Linux Libertine G"/>
        <family val="2"/>
      </rPr>
      <t xml:space="preserve">哈希</t>
    </r>
  </si>
  <si>
    <r>
      <rPr>
        <sz val="9"/>
        <color rgb="FF24323D"/>
        <rFont val="Linux Libertine G"/>
        <family val="2"/>
      </rPr>
      <t xml:space="preserve">见 </t>
    </r>
    <r>
      <rPr>
        <sz val="9"/>
        <color rgb="FF24323D"/>
        <rFont val="Hiragino Sans GB"/>
        <family val="0"/>
        <charset val="1"/>
      </rPr>
      <t xml:space="preserve">REVIEW_002</t>
    </r>
  </si>
  <si>
    <r>
      <rPr>
        <sz val="9"/>
        <color rgb="FF24323D"/>
        <rFont val="Linux Libertine G"/>
        <family val="2"/>
      </rPr>
      <t xml:space="preserve">按实际 </t>
    </r>
    <r>
      <rPr>
        <sz val="9"/>
        <color rgb="FF24323D"/>
        <rFont val="Hiragino Sans GB"/>
        <family val="0"/>
        <charset val="1"/>
      </rPr>
      <t xml:space="preserve">finding</t>
    </r>
  </si>
  <si>
    <t xml:space="preserve">YES</t>
  </si>
  <si>
    <r>
      <rPr>
        <sz val="9"/>
        <color rgb="FF24323D"/>
        <rFont val="Linux Libertine G"/>
        <family val="2"/>
      </rPr>
      <t xml:space="preserve">两阶段独立复查，不执行 </t>
    </r>
    <r>
      <rPr>
        <sz val="9"/>
        <color rgb="FF24323D"/>
        <rFont val="Hiragino Sans GB"/>
        <family val="0"/>
        <charset val="1"/>
      </rPr>
      <t xml:space="preserve">V4/V5</t>
    </r>
  </si>
  <si>
    <r>
      <rPr>
        <sz val="9"/>
        <color rgb="FF24323D"/>
        <rFont val="Linux Libertine G"/>
        <family val="2"/>
      </rPr>
      <t xml:space="preserve">主 </t>
    </r>
    <r>
      <rPr>
        <sz val="9"/>
        <color rgb="FF24323D"/>
        <rFont val="Hiragino Sans GB"/>
        <family val="0"/>
        <charset val="1"/>
      </rPr>
      <t xml:space="preserve">Agent</t>
    </r>
    <r>
      <rPr>
        <sz val="9"/>
        <color rgb="FF24323D"/>
        <rFont val="Linux Libertine G"/>
        <family val="2"/>
      </rPr>
      <t xml:space="preserve">只修正规划产物并重新导出</t>
    </r>
  </si>
  <si>
    <r>
      <rPr>
        <sz val="9"/>
        <color rgb="FF24323D"/>
        <rFont val="Linux Libertine G"/>
        <family val="2"/>
      </rPr>
      <t xml:space="preserve">见 </t>
    </r>
    <r>
      <rPr>
        <sz val="9"/>
        <color rgb="FF24323D"/>
        <rFont val="Hiragino Sans GB"/>
        <family val="0"/>
        <charset val="1"/>
      </rPr>
      <t xml:space="preserve">REVIEW_002 disposition</t>
    </r>
  </si>
  <si>
    <r>
      <rPr>
        <sz val="9"/>
        <color rgb="FF24323D"/>
        <rFont val="Hiragino Sans GB"/>
        <family val="0"/>
        <charset val="1"/>
      </rPr>
      <t xml:space="preserve">Final re-review </t>
    </r>
    <r>
      <rPr>
        <sz val="9"/>
        <color rgb="FF24323D"/>
        <rFont val="Linux Libertine G"/>
        <family val="2"/>
      </rPr>
      <t xml:space="preserve">后产物不得再变化</t>
    </r>
  </si>
  <si>
    <t xml:space="preserve">ACCEPTED_PENDING_CHATGPT_REVIEW</t>
  </si>
  <si>
    <t xml:space="preserve">PLAN-REPAIR-002 candidate → final</t>
  </si>
  <si>
    <r>
      <rPr>
        <sz val="9"/>
        <color rgb="FF24323D"/>
        <rFont val="Hiragino Sans GB"/>
        <family val="0"/>
        <charset val="1"/>
      </rPr>
      <t xml:space="preserve">main@64f37bd</t>
    </r>
    <r>
      <rPr>
        <sz val="9"/>
        <color rgb="FF24323D"/>
        <rFont val="Linux Libertine G"/>
        <family val="2"/>
      </rPr>
      <t xml:space="preserve">；历史报告 </t>
    </r>
    <r>
      <rPr>
        <sz val="9"/>
        <color rgb="FF24323D"/>
        <rFont val="Hiragino Sans GB"/>
        <family val="0"/>
        <charset val="1"/>
      </rPr>
      <t xml:space="preserve">docs/reviews/TXWZS_MASTER_PLAN_REVIEW_003.md</t>
    </r>
    <r>
      <rPr>
        <sz val="9"/>
        <color rgb="FF24323D"/>
        <rFont val="Linux Libertine G"/>
        <family val="2"/>
      </rPr>
      <t xml:space="preserve">；其哈希绑定状态同步前产物</t>
    </r>
  </si>
  <si>
    <t xml:space="preserve">gate cycles, exact task/test IDs, reverse mapping, full Chinese font coverage, mirrors</t>
  </si>
  <si>
    <r>
      <rPr>
        <sz val="9"/>
        <color rgb="FF24323D"/>
        <rFont val="Linux Libertine G"/>
        <family val="2"/>
      </rPr>
      <t xml:space="preserve">独立复查绑定状态同步前 </t>
    </r>
    <r>
      <rPr>
        <sz val="9"/>
        <color rgb="FF24323D"/>
        <rFont val="Hiragino Sans GB"/>
        <family val="0"/>
        <charset val="1"/>
      </rPr>
      <t xml:space="preserve">XLSX/MD/5 CSV/ZIP </t>
    </r>
    <r>
      <rPr>
        <sz val="9"/>
        <color rgb="FF24323D"/>
        <rFont val="Linux Libertine G"/>
        <family val="2"/>
      </rPr>
      <t xml:space="preserve">哈希；状态同步后的新哈希由 </t>
    </r>
    <r>
      <rPr>
        <sz val="9"/>
        <color rgb="FF24323D"/>
        <rFont val="Hiragino Sans GB"/>
        <family val="0"/>
        <charset val="1"/>
      </rPr>
      <t xml:space="preserve">PLAN-STATE-SYNC-001 </t>
    </r>
    <r>
      <rPr>
        <sz val="9"/>
        <color rgb="FF24323D"/>
        <rFont val="Linux Libertine G"/>
        <family val="2"/>
      </rPr>
      <t xml:space="preserve">记录</t>
    </r>
  </si>
  <si>
    <r>
      <rPr>
        <sz val="9"/>
        <color rgb="FF24323D"/>
        <rFont val="Linux Libertine G"/>
        <family val="2"/>
      </rPr>
      <t xml:space="preserve">见 </t>
    </r>
    <r>
      <rPr>
        <sz val="9"/>
        <color rgb="FF24323D"/>
        <rFont val="Hiragino Sans GB"/>
        <family val="0"/>
        <charset val="1"/>
      </rPr>
      <t xml:space="preserve">REVIEW_003</t>
    </r>
  </si>
  <si>
    <r>
      <rPr>
        <sz val="9"/>
        <color rgb="FF24323D"/>
        <rFont val="Linux Libertine G"/>
        <family val="2"/>
      </rPr>
      <t xml:space="preserve">只读复查，不执行 </t>
    </r>
    <r>
      <rPr>
        <sz val="9"/>
        <color rgb="FF24323D"/>
        <rFont val="Hiragino Sans GB"/>
        <family val="0"/>
        <charset val="1"/>
      </rPr>
      <t xml:space="preserve">V4/V5</t>
    </r>
  </si>
  <si>
    <r>
      <rPr>
        <sz val="9"/>
        <color rgb="FF24323D"/>
        <rFont val="Hiragino Sans GB"/>
        <family val="0"/>
        <charset val="1"/>
      </rPr>
      <t xml:space="preserve">PLAN-REPAIR-002 findings </t>
    </r>
    <r>
      <rPr>
        <sz val="9"/>
        <color rgb="FF24323D"/>
        <rFont val="Linux Libertine G"/>
        <family val="2"/>
      </rPr>
      <t xml:space="preserve">全部关闭；用户随后明确接受</t>
    </r>
  </si>
  <si>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findings </t>
    </r>
    <r>
      <rPr>
        <sz val="9"/>
        <color rgb="FF24323D"/>
        <rFont val="Linux Libertine G"/>
        <family val="2"/>
      </rPr>
      <t xml:space="preserve">已关闭；状态同步不修改历史报告</t>
    </r>
  </si>
  <si>
    <t xml:space="preserve">ACCEPTED / ALL_PLAN_REPAIR_002_FINDINGS_CLOSED</t>
  </si>
  <si>
    <t xml:space="preserve">USER_ACCEPTED / ALL_PLAN_REPAIR_002_FINDINGS_CLOSED</t>
  </si>
  <si>
    <r>
      <rPr>
        <sz val="10"/>
        <rFont val="Arial"/>
        <family val="2"/>
        <charset val="1"/>
      </rPr>
      <t xml:space="preserve">main@64f37bda130397f08cdd012609dc2d3a5f5c6b99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tracked patch SHA-256 b3aec131692613e55058d38136907f1e637265d9cf8c4e7cb59211c786b32428</t>
    </r>
  </si>
  <si>
    <t xml:space="preserve">right-click ownership; result projection; _garrisons truth; dispatch/arrival atomicity; no regression</t>
  </si>
  <si>
    <r>
      <rPr>
        <sz val="10"/>
        <rFont val="Arial"/>
        <family val="2"/>
        <charset val="1"/>
      </rPr>
      <t xml:space="preserve">126 V4 assertions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27/27 tracked runners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1490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editor/main/V4/C0/UID/diff/error scan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formal GUI</t>
    </r>
  </si>
  <si>
    <r>
      <rPr>
        <sz val="10"/>
        <rFont val="Linux Libertine G"/>
        <family val="2"/>
      </rPr>
      <t xml:space="preserve">此前三个 </t>
    </r>
    <r>
      <rPr>
        <sz val="10"/>
        <rFont val="Arial"/>
        <family val="2"/>
        <charset val="1"/>
      </rPr>
      <t xml:space="preserve">IMPORTANT </t>
    </r>
    <r>
      <rPr>
        <sz val="10"/>
        <rFont val="Linux Libertine G"/>
        <family val="2"/>
      </rPr>
      <t xml:space="preserve">全部关闭；未发现新增 </t>
    </r>
    <r>
      <rPr>
        <sz val="10"/>
        <rFont val="Arial"/>
        <family val="2"/>
        <charset val="1"/>
      </rPr>
      <t xml:space="preserve">BLOCKER/IMPORTANT</t>
    </r>
  </si>
  <si>
    <r>
      <rPr>
        <sz val="10"/>
        <rFont val="Arial"/>
        <family val="2"/>
        <charset val="1"/>
      </rPr>
      <t xml:space="preserve">/tmp/txwzs-v4-p5-review-002.KefVHg </t>
    </r>
    <r>
      <rPr>
        <sz val="10"/>
        <rFont val="Linux Libertine G"/>
        <family val="2"/>
      </rPr>
      <t xml:space="preserve">原始日志与本轮新截图</t>
    </r>
  </si>
  <si>
    <r>
      <rPr>
        <sz val="10"/>
        <rFont val="Linux Libertine G"/>
        <family val="2"/>
      </rPr>
      <t xml:space="preserve">进入 </t>
    </r>
    <r>
      <rPr>
        <sz val="10"/>
        <rFont val="Arial"/>
        <family val="2"/>
        <charset val="1"/>
      </rPr>
      <t xml:space="preserve">V4-P6-T001 </t>
    </r>
    <r>
      <rPr>
        <sz val="10"/>
        <rFont val="Linux Libertine G"/>
        <family val="2"/>
      </rPr>
      <t xml:space="preserve">用户实体试玩；不冻结、不提交、不启动 </t>
    </r>
    <r>
      <rPr>
        <sz val="10"/>
        <rFont val="Arial"/>
        <family val="2"/>
        <charset val="1"/>
      </rPr>
      <t xml:space="preserve">V5</t>
    </r>
  </si>
  <si>
    <r>
      <rPr>
        <sz val="10"/>
        <rFont val="Arial"/>
        <family val="2"/>
        <charset val="1"/>
      </rPr>
      <t xml:space="preserve">V4-P5-T001-REPAIR-001 </t>
    </r>
    <r>
      <rPr>
        <sz val="10"/>
        <rFont val="Linux Libertine G"/>
        <family val="2"/>
      </rPr>
      <t xml:space="preserve">已由独立证据复核</t>
    </r>
  </si>
  <si>
    <r>
      <rPr>
        <sz val="10"/>
        <rFont val="Arial"/>
        <family val="2"/>
        <charset val="1"/>
      </rPr>
      <t xml:space="preserve">RIGHT_CLICK / RESULT_PROJECTION / GARRISON_TRUTH </t>
    </r>
    <r>
      <rPr>
        <sz val="10"/>
        <rFont val="Linux Libertine G"/>
        <family val="2"/>
      </rPr>
      <t xml:space="preserve">全部 </t>
    </r>
    <r>
      <rPr>
        <sz val="10"/>
        <rFont val="Arial"/>
        <family val="2"/>
        <charset val="1"/>
      </rPr>
      <t xml:space="preserve">CLOSED</t>
    </r>
  </si>
  <si>
    <t xml:space="preserve">风险与决策索引</t>
  </si>
  <si>
    <r>
      <rPr>
        <i val="true"/>
        <sz val="10"/>
        <color rgb="FF34495E"/>
        <rFont val="Linux Libertine G"/>
        <family val="2"/>
      </rPr>
      <t xml:space="preserve">风险与架构决策必须引用证据、备选和反转成本；</t>
    </r>
    <r>
      <rPr>
        <i val="true"/>
        <sz val="10"/>
        <color rgb="FF34495E"/>
        <rFont val="Hiragino Sans GB"/>
        <family val="0"/>
        <charset val="1"/>
      </rPr>
      <t xml:space="preserve">CANCELLED </t>
    </r>
    <r>
      <rPr>
        <i val="true"/>
        <sz val="10"/>
        <color rgb="FF34495E"/>
        <rFont val="Linux Libertine G"/>
        <family val="2"/>
      </rPr>
      <t xml:space="preserve">任务必须关联决策。</t>
    </r>
  </si>
  <si>
    <r>
      <rPr>
        <b val="true"/>
        <sz val="10"/>
        <color rgb="FFFFFFFF"/>
        <rFont val="Hiragino Sans GB"/>
        <family val="0"/>
        <charset val="1"/>
      </rPr>
      <t xml:space="preserve">Risk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Decision ID</t>
    </r>
  </si>
  <si>
    <t xml:space="preserve">Type</t>
  </si>
  <si>
    <t xml:space="preserve">Description</t>
  </si>
  <si>
    <t xml:space="preserve">Alternatives</t>
  </si>
  <si>
    <t xml:space="preserve">Decision</t>
  </si>
  <si>
    <t xml:space="preserve">Consequence</t>
  </si>
  <si>
    <t xml:space="preserve">Reversal Cost</t>
  </si>
  <si>
    <t xml:space="preserve">Owner</t>
  </si>
  <si>
    <t xml:space="preserve">Related Tasks</t>
  </si>
  <si>
    <t xml:space="preserve">RISK-001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</si>
  <si>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虽用数组保存行军对象，但实际只处理 </t>
    </r>
    <r>
      <rPr>
        <sz val="9"/>
        <color rgb="FF24323D"/>
        <rFont val="Hiragino Sans GB"/>
        <family val="0"/>
        <charset val="1"/>
      </rPr>
      <t xml:space="preserve">index 0 </t>
    </r>
    <r>
      <rPr>
        <sz val="9"/>
        <color rgb="FF24323D"/>
        <rFont val="Linux Libertine G"/>
        <family val="2"/>
      </rPr>
      <t xml:space="preserve">且禁止并发。</t>
    </r>
  </si>
  <si>
    <t xml:space="preserve">blackstone_expedition_mvp.gd:202,474,500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</si>
  <si>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前不动；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改持久集合；直接泛化 </t>
    </r>
    <r>
      <rPr>
        <sz val="9"/>
        <color rgb="FF24323D"/>
        <rFont val="Hiragino Sans GB"/>
        <family val="0"/>
        <charset val="1"/>
      </rPr>
      <t xml:space="preserve">V4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</si>
  <si>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保持单命令 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即建立持久集合，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启用多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</si>
  <si>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避免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更换容器和二次迁移。</t>
    </r>
  </si>
  <si>
    <t xml:space="preserve">Architecture owner</t>
  </si>
  <si>
    <t xml:space="preserve">V4-P5-T001,V5-P3-T001,V6-P1-T001</t>
  </si>
  <si>
    <t xml:space="preserve">OPEN</t>
  </si>
  <si>
    <t xml:space="preserve">RISK-002</t>
  </si>
  <si>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已承载大量城市状态，新增 </t>
    </r>
    <r>
      <rPr>
        <sz val="9"/>
        <color rgb="FF24323D"/>
        <rFont val="Hiragino Sans GB"/>
        <family val="0"/>
        <charset val="1"/>
      </rPr>
      <t xml:space="preserve">CityState </t>
    </r>
    <r>
      <rPr>
        <sz val="9"/>
        <color rgb="FF24323D"/>
        <rFont val="Linux Libertine G"/>
        <family val="2"/>
      </rPr>
      <t xml:space="preserve">容易复制真相。</t>
    </r>
  </si>
  <si>
    <t xml:space="preserve">CURRENT_STATE + construction_controller.gd</t>
  </si>
  <si>
    <t xml:space="preserve">直接新增类；窄适配；渐进迁移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</si>
  <si>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先冻结字段所有权，任何迁移必须单写入者。</t>
    </r>
  </si>
  <si>
    <t xml:space="preserve">复制状态会造成资源、驻军和存档漂移。</t>
  </si>
  <si>
    <t xml:space="preserve">RISK-003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</si>
  <si>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原型继续膨胀会混合输入、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、行军和战区规则。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</si>
  <si>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+1156 </t>
    </r>
    <r>
      <rPr>
        <sz val="9"/>
        <color rgb="FF24323D"/>
        <rFont val="Linux Libertine G"/>
        <family val="2"/>
      </rPr>
      <t xml:space="preserve">行脚本变化</t>
    </r>
  </si>
  <si>
    <t xml:space="preserve">继续堆；冻结并窄适配</t>
  </si>
  <si>
    <r>
      <rPr>
        <sz val="9"/>
        <color rgb="FF24323D"/>
        <rFont val="Hiragino Sans GB"/>
        <family val="0"/>
        <charset val="1"/>
      </rPr>
      <t xml:space="preserve">V4 freeze </t>
    </r>
    <r>
      <rPr>
        <sz val="9"/>
        <color rgb="FF24323D"/>
        <rFont val="Linux Libertine G"/>
        <family val="2"/>
      </rPr>
      <t xml:space="preserve">后只通过 </t>
    </r>
    <r>
      <rPr>
        <sz val="9"/>
        <color rgb="FF24323D"/>
        <rFont val="Hiragino Sans GB"/>
        <family val="0"/>
        <charset val="1"/>
      </rPr>
      <t xml:space="preserve">V5/V6 adapter </t>
    </r>
    <r>
      <rPr>
        <sz val="9"/>
        <color rgb="FF24323D"/>
        <rFont val="Linux Libertine G"/>
        <family val="2"/>
      </rPr>
      <t xml:space="preserve">接权威状态。</t>
    </r>
  </si>
  <si>
    <r>
      <rPr>
        <sz val="9"/>
        <color rgb="FF24323D"/>
        <rFont val="Linux Libertine G"/>
        <family val="2"/>
      </rPr>
      <t xml:space="preserve">限制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成为长期世界状态容器。</t>
    </r>
  </si>
  <si>
    <t xml:space="preserve">中高</t>
  </si>
  <si>
    <t xml:space="preserve">Product owner</t>
  </si>
  <si>
    <t xml:space="preserve">V4-P5-T001,V5-P3-T002</t>
  </si>
  <si>
    <t xml:space="preserve">RISK-004</t>
  </si>
  <si>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代码存在但独立验收状态未冻结。</t>
    </r>
  </si>
  <si>
    <r>
      <rPr>
        <sz val="9"/>
        <color rgb="FF24323D"/>
        <rFont val="Hiragino Sans GB"/>
        <family val="0"/>
        <charset val="1"/>
      </rPr>
      <t xml:space="preserve">8 untracked files</t>
    </r>
    <r>
      <rPr>
        <sz val="9"/>
        <color rgb="FF24323D"/>
        <rFont val="Linux Libertine G"/>
        <family val="2"/>
      </rPr>
      <t xml:space="preserve">；用户最新阻断历史</t>
    </r>
  </si>
  <si>
    <t xml:space="preserve">直接复用；放弃；独立复审</t>
  </si>
  <si>
    <r>
      <rPr>
        <sz val="9"/>
        <color rgb="FF24323D"/>
        <rFont val="Hiragino Sans GB"/>
        <family val="0"/>
        <charset val="1"/>
      </rPr>
      <t xml:space="preserve">V5-P5-T001 </t>
    </r>
    <r>
      <rPr>
        <sz val="9"/>
        <color rgb="FF24323D"/>
        <rFont val="Linux Libertine G"/>
        <family val="2"/>
      </rPr>
      <t xml:space="preserve">前不得把它当作存档基线。</t>
    </r>
  </si>
  <si>
    <r>
      <rPr>
        <sz val="9"/>
        <color rgb="FF24323D"/>
        <rFont val="Linux Libertine G"/>
        <family val="2"/>
      </rPr>
      <t xml:space="preserve">避免把有阻断历史的存档代码带入 </t>
    </r>
    <r>
      <rPr>
        <sz val="9"/>
        <color rgb="FF24323D"/>
        <rFont val="Hiragino Sans GB"/>
        <family val="0"/>
        <charset val="1"/>
      </rPr>
      <t xml:space="preserve">V5</t>
    </r>
    <r>
      <rPr>
        <sz val="9"/>
        <color rgb="FF24323D"/>
        <rFont val="Linux Libertine G"/>
        <family val="2"/>
      </rPr>
      <t xml:space="preserve">。</t>
    </r>
  </si>
  <si>
    <t xml:space="preserve">Persistence reviewer</t>
  </si>
  <si>
    <t xml:space="preserve">RISK-005</t>
  </si>
  <si>
    <r>
      <rPr>
        <sz val="9"/>
        <color rgb="FF24323D"/>
        <rFont val="Linux Libertine G"/>
        <family val="2"/>
      </rPr>
      <t xml:space="preserve">重复确认、</t>
    </r>
    <r>
      <rPr>
        <sz val="9"/>
        <color rgb="FF24323D"/>
        <rFont val="Hiragino Sans GB"/>
        <family val="0"/>
        <charset val="1"/>
      </rPr>
      <t xml:space="preserve">frame</t>
    </r>
    <r>
      <rPr>
        <sz val="9"/>
        <color rgb="FF24323D"/>
        <rFont val="Linux Libertine G"/>
        <family val="2"/>
      </rPr>
      <t xml:space="preserve">、信号或场景返回可能重复扣兵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抵达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奖励。</t>
    </r>
  </si>
  <si>
    <r>
      <rPr>
        <sz val="9"/>
        <color rgb="FF24323D"/>
        <rFont val="Hiragino Sans GB"/>
        <family val="0"/>
        <charset val="1"/>
      </rPr>
      <t xml:space="preserve">V4/C0 </t>
    </r>
    <r>
      <rPr>
        <sz val="9"/>
        <color rgb="FF24323D"/>
        <rFont val="Linux Libertine G"/>
        <family val="2"/>
      </rPr>
      <t xml:space="preserve">既有防重入测试</t>
    </r>
  </si>
  <si>
    <r>
      <rPr>
        <sz val="9"/>
        <color rgb="FF24323D"/>
        <rFont val="Linux Libertine G"/>
        <family val="2"/>
      </rPr>
      <t xml:space="preserve">分散 </t>
    </r>
    <r>
      <rPr>
        <sz val="9"/>
        <color rgb="FF24323D"/>
        <rFont val="Hiragino Sans GB"/>
        <family val="0"/>
        <charset val="1"/>
      </rPr>
      <t xml:space="preserve">bool</t>
    </r>
    <r>
      <rPr>
        <sz val="9"/>
        <color rgb="FF24323D"/>
        <rFont val="Linux Libertine G"/>
        <family val="2"/>
      </rPr>
      <t xml:space="preserve">；稳定 </t>
    </r>
    <r>
      <rPr>
        <sz val="9"/>
        <color rgb="FF24323D"/>
        <rFont val="Hiragino Sans GB"/>
        <family val="0"/>
        <charset val="1"/>
      </rPr>
      <t xml:space="preserve">transaction ledger</t>
    </r>
  </si>
  <si>
    <r>
      <rPr>
        <sz val="9"/>
        <color rgb="FF24323D"/>
        <rFont val="Hiragino Sans GB"/>
        <family val="0"/>
        <charset val="1"/>
      </rPr>
      <t xml:space="preserve">V5/V6 </t>
    </r>
    <r>
      <rPr>
        <sz val="9"/>
        <color rgb="FF24323D"/>
        <rFont val="Linux Libertine G"/>
        <family val="2"/>
      </rPr>
      <t xml:space="preserve">用稳定事务 </t>
    </r>
    <r>
      <rPr>
        <sz val="9"/>
        <color rgb="FF24323D"/>
        <rFont val="Hiragino Sans GB"/>
        <family val="0"/>
        <charset val="1"/>
      </rPr>
      <t xml:space="preserve">ID </t>
    </r>
    <r>
      <rPr>
        <sz val="9"/>
        <color rgb="FF24323D"/>
        <rFont val="Linux Libertine G"/>
        <family val="2"/>
      </rPr>
      <t xml:space="preserve">和状态转换；独立复查。</t>
    </r>
  </si>
  <si>
    <t xml:space="preserve">保证兵力与奖励守恒。</t>
  </si>
  <si>
    <t xml:space="preserve">Runtime owner</t>
  </si>
  <si>
    <t xml:space="preserve">RISK-006</t>
  </si>
  <si>
    <t xml:space="preserve">训练进度由城市战略时间推进，不由场景帧或战斗时间推进。</t>
  </si>
  <si>
    <r>
      <rPr>
        <sz val="9"/>
        <color rgb="FF24323D"/>
        <rFont val="Linux Libertine G"/>
        <family val="2"/>
      </rPr>
      <t xml:space="preserve">现有 </t>
    </r>
    <r>
      <rPr>
        <sz val="9"/>
        <color rgb="FF24323D"/>
        <rFont val="Hiragino Sans GB"/>
        <family val="0"/>
        <charset val="1"/>
      </rPr>
      <t xml:space="preserve">180s/day</t>
    </r>
    <r>
      <rPr>
        <sz val="9"/>
        <color rgb="FF24323D"/>
        <rFont val="Linux Libertine G"/>
        <family val="2"/>
      </rPr>
      <t xml:space="preserve">、战争阻断和日结算</t>
    </r>
  </si>
  <si>
    <r>
      <rPr>
        <sz val="9"/>
        <color rgb="FF24323D"/>
        <rFont val="Linux Libertine G"/>
        <family val="2"/>
      </rPr>
      <t xml:space="preserve">城市时间；真实秒；战斗 </t>
    </r>
    <r>
      <rPr>
        <sz val="9"/>
        <color rgb="FF24323D"/>
        <rFont val="Hiragino Sans GB"/>
        <family val="0"/>
        <charset val="1"/>
      </rPr>
      <t xml:space="preserve">tick</t>
    </r>
  </si>
  <si>
    <t xml:space="preserve">采用城市战略时间；场景切换不重复推进。</t>
  </si>
  <si>
    <t xml:space="preserve">训练与城市日结算保持同一时钟。</t>
  </si>
  <si>
    <t xml:space="preserve">中</t>
  </si>
  <si>
    <t xml:space="preserve">Product + architecture</t>
  </si>
  <si>
    <t xml:space="preserve">PROPOSED</t>
  </si>
  <si>
    <t xml:space="preserve">RISK-007</t>
  </si>
  <si>
    <t xml:space="preserve">全局征募上限与本地驻军必须分开表达。</t>
  </si>
  <si>
    <r>
      <rPr>
        <sz val="9"/>
        <color rgb="FF24323D"/>
        <rFont val="Linux Libertine G"/>
        <family val="2"/>
      </rPr>
      <t xml:space="preserve">现有 </t>
    </r>
    <r>
      <rPr>
        <sz val="9"/>
        <color rgb="FF24323D"/>
        <rFont val="Hiragino Sans GB"/>
        <family val="0"/>
        <charset val="1"/>
      </rPr>
      <t xml:space="preserve">recruitment_cap + infantry_count</t>
    </r>
  </si>
  <si>
    <r>
      <rPr>
        <sz val="9"/>
        <color rgb="FF24323D"/>
        <rFont val="Linux Libertine G"/>
        <family val="2"/>
      </rPr>
      <t xml:space="preserve">一个总数；驻军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预留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在途分解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</si>
  <si>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定义驻军守恒式；容量查询聚合各状态。</t>
    </r>
  </si>
  <si>
    <t xml:space="preserve">玩家能解释驻军、预留、在途和可派兵力。</t>
  </si>
  <si>
    <t xml:space="preserve">V5-P0-T004,V5-P1-T004</t>
  </si>
  <si>
    <t xml:space="preserve">RISK-008</t>
  </si>
  <si>
    <r>
      <rPr>
        <sz val="9"/>
        <color rgb="FF24323D"/>
        <rFont val="Linux Libertine G"/>
        <family val="2"/>
      </rPr>
      <t xml:space="preserve">外城遭遇和战事内城可能复制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或城市状态。</t>
    </r>
  </si>
  <si>
    <t xml:space="preserve">C0 BattleSession + campaign boundary doc</t>
  </si>
  <si>
    <r>
      <rPr>
        <sz val="9"/>
        <color rgb="FF24323D"/>
        <rFont val="Linux Libertine G"/>
        <family val="2"/>
      </rPr>
      <t xml:space="preserve">两个 </t>
    </r>
    <r>
      <rPr>
        <sz val="9"/>
        <color rgb="FF24323D"/>
        <rFont val="Hiragino Sans GB"/>
        <family val="0"/>
        <charset val="1"/>
      </rPr>
      <t xml:space="preserve">session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配置化</t>
    </r>
  </si>
  <si>
    <r>
      <rPr>
        <sz val="9"/>
        <color rgb="FF24323D"/>
        <rFont val="Hiragino Sans GB"/>
        <family val="0"/>
        <charset val="1"/>
      </rPr>
      <t xml:space="preserve">V7/V8 </t>
    </r>
    <r>
      <rPr>
        <sz val="9"/>
        <color rgb="FF24323D"/>
        <rFont val="Linux Libertine G"/>
        <family val="2"/>
      </rPr>
      <t xml:space="preserve">复用单局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契约；持久结果经协调入口写回。</t>
    </r>
  </si>
  <si>
    <t xml:space="preserve">战斗临时状态不污染持久城市。</t>
  </si>
  <si>
    <t xml:space="preserve">Combat reviewer</t>
  </si>
  <si>
    <t xml:space="preserve">V7-P0-T001,V8-P0-T001</t>
  </si>
  <si>
    <t xml:space="preserve">RISK-009</t>
  </si>
  <si>
    <r>
      <rPr>
        <sz val="9"/>
        <color rgb="FF24323D"/>
        <rFont val="Linux Libertine G"/>
        <family val="2"/>
      </rPr>
      <t xml:space="preserve">二进制 </t>
    </r>
    <r>
      <rPr>
        <sz val="9"/>
        <color rgb="FF24323D"/>
        <rFont val="Hiragino Sans GB"/>
        <family val="0"/>
        <charset val="1"/>
      </rPr>
      <t xml:space="preserve">Excel </t>
    </r>
    <r>
      <rPr>
        <sz val="9"/>
        <color rgb="FF24323D"/>
        <rFont val="Linux Libertine G"/>
        <family val="2"/>
      </rPr>
      <t xml:space="preserve">无法有效 </t>
    </r>
    <r>
      <rPr>
        <sz val="9"/>
        <color rgb="FF24323D"/>
        <rFont val="Hiragino Sans GB"/>
        <family val="0"/>
        <charset val="1"/>
      </rPr>
      <t xml:space="preserve">Git diff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</si>
  <si>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Hiragino Sans GB"/>
        <family val="0"/>
        <charset val="1"/>
      </rPr>
      <t xml:space="preserve">xlsx </t>
    </r>
    <r>
      <rPr>
        <sz val="9"/>
        <color rgb="FF24323D"/>
        <rFont val="Linux Libertine G"/>
        <family val="2"/>
      </rPr>
      <t xml:space="preserve">格式</t>
    </r>
  </si>
  <si>
    <r>
      <rPr>
        <sz val="9"/>
        <color rgb="FF24323D"/>
        <rFont val="Linux Libertine G"/>
        <family val="2"/>
      </rPr>
      <t xml:space="preserve">只保留 </t>
    </r>
    <r>
      <rPr>
        <sz val="9"/>
        <color rgb="FF24323D"/>
        <rFont val="Hiragino Sans GB"/>
        <family val="0"/>
        <charset val="1"/>
      </rPr>
      <t xml:space="preserve">xlsx</t>
    </r>
    <r>
      <rPr>
        <sz val="9"/>
        <color rgb="FF24323D"/>
        <rFont val="Linux Libertine G"/>
        <family val="2"/>
      </rPr>
      <t xml:space="preserve">；文本镜像；脚本源</t>
    </r>
  </si>
  <si>
    <r>
      <rPr>
        <sz val="9"/>
        <color rgb="FF24323D"/>
        <rFont val="Hiragino Sans GB"/>
        <family val="0"/>
        <charset val="1"/>
      </rPr>
      <t xml:space="preserve">xlsx </t>
    </r>
    <r>
      <rPr>
        <sz val="9"/>
        <color rgb="FF24323D"/>
        <rFont val="Linux Libertine G"/>
        <family val="2"/>
      </rPr>
      <t xml:space="preserve">为操作界面；同一修订必须导出 </t>
    </r>
    <r>
      <rPr>
        <sz val="9"/>
        <color rgb="FF24323D"/>
        <rFont val="Hiragino Sans GB"/>
        <family val="0"/>
        <charset val="1"/>
      </rPr>
      <t xml:space="preserve">MD + CSV</t>
    </r>
    <r>
      <rPr>
        <sz val="9"/>
        <color rgb="FF24323D"/>
        <rFont val="Linux Libertine G"/>
        <family val="2"/>
      </rPr>
      <t xml:space="preserve">。</t>
    </r>
  </si>
  <si>
    <t xml:space="preserve">文本镜像提供可审查差异。</t>
  </si>
  <si>
    <t xml:space="preserve">低</t>
  </si>
  <si>
    <t xml:space="preserve">Planning owner</t>
  </si>
  <si>
    <t xml:space="preserve">MITIGATED</t>
  </si>
  <si>
    <t xml:space="preserve">RISK-010</t>
  </si>
  <si>
    <t xml:space="preserve">规划与代码事实会漂移。</t>
  </si>
  <si>
    <r>
      <rPr>
        <sz val="9"/>
        <color rgb="FF24323D"/>
        <rFont val="Hiragino Sans GB"/>
        <family val="0"/>
        <charset val="1"/>
      </rPr>
      <t xml:space="preserve">CURRENT_STATE </t>
    </r>
    <r>
      <rPr>
        <sz val="9"/>
        <color rgb="FF24323D"/>
        <rFont val="Linux Libertine G"/>
        <family val="2"/>
      </rPr>
      <t xml:space="preserve">历史记录多次过期</t>
    </r>
  </si>
  <si>
    <r>
      <rPr>
        <sz val="9"/>
        <color rgb="FF24323D"/>
        <rFont val="Linux Libertine G"/>
        <family val="2"/>
      </rPr>
      <t xml:space="preserve">计划自证；每阶段 </t>
    </r>
    <r>
      <rPr>
        <sz val="9"/>
        <color rgb="FF24323D"/>
        <rFont val="Hiragino Sans GB"/>
        <family val="0"/>
        <charset val="1"/>
      </rPr>
      <t xml:space="preserve">G0 </t>
    </r>
    <r>
      <rPr>
        <sz val="9"/>
        <color rgb="FF24323D"/>
        <rFont val="Linux Libertine G"/>
        <family val="2"/>
      </rPr>
      <t xml:space="preserve">刷新</t>
    </r>
  </si>
  <si>
    <r>
      <rPr>
        <sz val="9"/>
        <color rgb="FF24323D"/>
        <rFont val="Linux Libertine G"/>
        <family val="2"/>
      </rPr>
      <t xml:space="preserve">每个阶段开始重新查 </t>
    </r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测试并更新基线差异。</t>
    </r>
  </si>
  <si>
    <t xml:space="preserve">远期计划不会替代运行事实。</t>
  </si>
  <si>
    <t xml:space="preserve">RISK-011</t>
  </si>
  <si>
    <r>
      <rPr>
        <sz val="9"/>
        <color rgb="FF24323D"/>
        <rFont val="Linux Libertine G"/>
        <family val="2"/>
      </rPr>
      <t xml:space="preserve">没有绑定 </t>
    </r>
    <r>
      <rPr>
        <sz val="9"/>
        <color rgb="FF24323D"/>
        <rFont val="Hiragino Sans GB"/>
        <family val="0"/>
        <charset val="1"/>
      </rPr>
      <t xml:space="preserve">reviewer identity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reviewed baseline/hash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re-review </t>
    </r>
    <r>
      <rPr>
        <sz val="9"/>
        <color rgb="FF24323D"/>
        <rFont val="Linux Libertine G"/>
        <family val="2"/>
      </rPr>
      <t xml:space="preserve">的“独立复查”仍可能退化为实现者自证。</t>
    </r>
  </si>
  <si>
    <r>
      <rPr>
        <sz val="9"/>
        <color rgb="FF24323D"/>
        <rFont val="Hiragino Sans GB"/>
        <family val="0"/>
        <charset val="1"/>
      </rPr>
      <t xml:space="preserve">RVW-PLAN-001 </t>
    </r>
    <r>
      <rPr>
        <sz val="9"/>
        <color rgb="FF24323D"/>
        <rFont val="Linux Libertine G"/>
        <family val="2"/>
      </rPr>
      <t xml:space="preserve">初审 </t>
    </r>
    <r>
      <rPr>
        <sz val="9"/>
        <color rgb="FF24323D"/>
        <rFont val="Hiragino Sans GB"/>
        <family val="0"/>
        <charset val="1"/>
      </rPr>
      <t xml:space="preserve">PLAN-006</t>
    </r>
  </si>
  <si>
    <t xml:space="preserve">只写角色标签；绑定审查任务与证据</t>
  </si>
  <si>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必须记录 </t>
    </r>
    <r>
      <rPr>
        <sz val="9"/>
        <color rgb="FF24323D"/>
        <rFont val="Hiragino Sans GB"/>
        <family val="0"/>
        <charset val="1"/>
      </rPr>
      <t xml:space="preserve">reviewer task identity</t>
    </r>
    <r>
      <rPr>
        <sz val="9"/>
        <color rgb="FF24323D"/>
        <rFont val="Linux Libertine G"/>
        <family val="2"/>
      </rPr>
      <t xml:space="preserve">、审查基线</t>
    </r>
    <r>
      <rPr>
        <sz val="9"/>
        <color rgb="FF24323D"/>
        <rFont val="Hiragino Sans GB"/>
        <family val="0"/>
        <charset val="1"/>
      </rPr>
      <t xml:space="preserve">/patch/hash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findings </t>
    </r>
    <r>
      <rPr>
        <sz val="9"/>
        <color rgb="FF24323D"/>
        <rFont val="Linux Libertine G"/>
        <family val="2"/>
      </rPr>
      <t xml:space="preserve">处置和复审结论；实现者不得自审通过。</t>
    </r>
  </si>
  <si>
    <r>
      <rPr>
        <sz val="9"/>
        <color rgb="FF24323D"/>
        <rFont val="Linux Libertine G"/>
        <family val="2"/>
      </rPr>
      <t xml:space="preserve">每个验收 </t>
    </r>
    <r>
      <rPr>
        <sz val="9"/>
        <color rgb="FF24323D"/>
        <rFont val="Hiragino Sans GB"/>
        <family val="0"/>
        <charset val="1"/>
      </rPr>
      <t xml:space="preserve">verdict </t>
    </r>
    <r>
      <rPr>
        <sz val="9"/>
        <color rgb="FF24323D"/>
        <rFont val="Linux Libertine G"/>
        <family val="2"/>
      </rPr>
      <t xml:space="preserve">可追溯到具体审查任务和证据。</t>
    </r>
  </si>
  <si>
    <t xml:space="preserve">Review owner</t>
  </si>
  <si>
    <t xml:space="preserve">V4-P5-T001,V5-P7-T005,V5-P7-T006</t>
  </si>
  <si>
    <t xml:space="preserve">DEC-001</t>
  </si>
  <si>
    <t xml:space="preserve">四层世界结构：常态内城、外城战区、战事内城、天下地图。</t>
  </si>
  <si>
    <t xml:space="preserve">用户冻结方向</t>
  </si>
  <si>
    <t xml:space="preserve">统一场景；四层状态边界</t>
  </si>
  <si>
    <t xml:space="preserve">按持久性和生命周期分层，不复制持久城市真相。</t>
  </si>
  <si>
    <t xml:space="preserve">后续状态对象按层级和生命周期归属。</t>
  </si>
  <si>
    <t xml:space="preserve">V5-P0-T002,V6-P0-T001,V8-P0-T001</t>
  </si>
  <si>
    <t xml:space="preserve">DEC-002</t>
  </si>
  <si>
    <r>
      <rPr>
        <sz val="9"/>
        <color rgb="FF24323D"/>
        <rFont val="Linux Libertine G"/>
        <family val="2"/>
      </rPr>
      <t xml:space="preserve">滚动式规划：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详细、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中度、</t>
    </r>
    <r>
      <rPr>
        <sz val="9"/>
        <color rgb="FF24323D"/>
        <rFont val="Hiragino Sans GB"/>
        <family val="0"/>
        <charset val="1"/>
      </rPr>
      <t xml:space="preserve">V7–V12 </t>
    </r>
    <r>
      <rPr>
        <sz val="9"/>
        <color rgb="FF24323D"/>
        <rFont val="Linux Libertine G"/>
        <family val="2"/>
      </rPr>
      <t xml:space="preserve">工作包级。</t>
    </r>
  </si>
  <si>
    <t xml:space="preserve">用户任务</t>
  </si>
  <si>
    <t xml:space="preserve">全部精确；全部粗略；滚动式</t>
  </si>
  <si>
    <t xml:space="preserve">采用滚动式，阶段开始前展开远期任务。</t>
  </si>
  <si>
    <t xml:space="preserve">降低远期假精度与维护成本。</t>
  </si>
  <si>
    <t xml:space="preserve">DEC-003</t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</si>
  <si>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计入进度；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需决策记录且从分母排除。</t>
    </r>
  </si>
  <si>
    <r>
      <rPr>
        <sz val="9"/>
        <color rgb="FF24323D"/>
        <rFont val="Linux Libertine G"/>
        <family val="2"/>
      </rPr>
      <t xml:space="preserve">实现即完成；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后完成</t>
    </r>
  </si>
  <si>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才完成；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必须关联决策。</t>
    </r>
  </si>
  <si>
    <t xml:space="preserve">进度不会被未复查实现或取消项虚增。</t>
  </si>
  <si>
    <t xml:space="preserve">DEC-004</t>
  </si>
  <si>
    <r>
      <rPr>
        <sz val="10"/>
        <rFont val="Arial"/>
        <family val="2"/>
        <charset val="1"/>
      </rPr>
      <t xml:space="preserve">V4 </t>
    </r>
    <r>
      <rPr>
        <sz val="10"/>
        <rFont val="Linux Libertine G"/>
        <family val="2"/>
      </rPr>
      <t xml:space="preserve">以整个里程碑为最终验收单位；已独立通过且哈希未变化的单点不再重复创建 </t>
    </r>
    <r>
      <rPr>
        <sz val="10"/>
        <rFont val="Arial"/>
        <family val="2"/>
        <charset val="1"/>
      </rPr>
      <t xml:space="preserve">Review</t>
    </r>
    <r>
      <rPr>
        <sz val="10"/>
        <rFont val="Linux Libertine G"/>
        <family val="2"/>
      </rPr>
      <t xml:space="preserve">。</t>
    </r>
  </si>
  <si>
    <r>
      <rPr>
        <sz val="10"/>
        <rFont val="Linux Libertine G"/>
        <family val="2"/>
      </rPr>
      <t xml:space="preserve">用户 </t>
    </r>
    <r>
      <rPr>
        <sz val="10"/>
        <rFont val="Arial"/>
        <family val="2"/>
        <charset val="1"/>
      </rPr>
      <t xml:space="preserve">2026-07-30 </t>
    </r>
    <r>
      <rPr>
        <sz val="10"/>
        <rFont val="Linux Libertine G"/>
        <family val="2"/>
      </rPr>
      <t xml:space="preserve">明确接受 </t>
    </r>
    <r>
      <rPr>
        <sz val="10"/>
        <rFont val="Arial"/>
        <family val="2"/>
        <charset val="1"/>
      </rPr>
      <t xml:space="preserve">V4_UI_VISUAL_SLICE_INDEPENDENT_REVIEW_002</t>
    </r>
    <r>
      <rPr>
        <sz val="10"/>
        <rFont val="Linux Libertine G"/>
        <family val="2"/>
      </rPr>
      <t xml:space="preserve">；最终综合 </t>
    </r>
    <r>
      <rPr>
        <sz val="10"/>
        <rFont val="Arial"/>
        <family val="2"/>
        <charset val="1"/>
      </rPr>
      <t xml:space="preserve">Gate </t>
    </r>
    <r>
      <rPr>
        <sz val="10"/>
        <rFont val="Linux Libertine G"/>
        <family val="2"/>
      </rPr>
      <t xml:space="preserve">证据</t>
    </r>
  </si>
  <si>
    <r>
      <rPr>
        <sz val="10"/>
        <rFont val="Linux Libertine G"/>
        <family val="2"/>
      </rPr>
      <t xml:space="preserve">逐单点继续 </t>
    </r>
    <r>
      <rPr>
        <sz val="10"/>
        <rFont val="Arial"/>
        <family val="2"/>
        <charset val="1"/>
      </rPr>
      <t xml:space="preserve">Repair/Review</t>
    </r>
    <r>
      <rPr>
        <sz val="10"/>
        <rFont val="Linux Libertine G"/>
        <family val="2"/>
      </rPr>
      <t xml:space="preserve">；整体综合 </t>
    </r>
    <r>
      <rPr>
        <sz val="10"/>
        <rFont val="Arial"/>
        <family val="2"/>
        <charset val="1"/>
      </rPr>
      <t xml:space="preserve">Gate</t>
    </r>
    <r>
      <rPr>
        <sz val="10"/>
        <rFont val="Linux Libertine G"/>
        <family val="2"/>
      </rPr>
      <t xml:space="preserve">；直接跳过最终 </t>
    </r>
    <r>
      <rPr>
        <sz val="10"/>
        <rFont val="Arial"/>
        <family val="2"/>
        <charset val="1"/>
      </rPr>
      <t xml:space="preserve">Gate</t>
    </r>
  </si>
  <si>
    <r>
      <rPr>
        <sz val="10"/>
        <rFont val="Linux Libertine G"/>
        <family val="2"/>
      </rPr>
      <t xml:space="preserve">采用一次 </t>
    </r>
    <r>
      <rPr>
        <sz val="10"/>
        <rFont val="Arial"/>
        <family val="2"/>
        <charset val="1"/>
      </rPr>
      <t xml:space="preserve">V4 </t>
    </r>
    <r>
      <rPr>
        <sz val="10"/>
        <rFont val="Linux Libertine G"/>
        <family val="2"/>
      </rPr>
      <t xml:space="preserve">综合 </t>
    </r>
    <r>
      <rPr>
        <sz val="10"/>
        <rFont val="Arial"/>
        <family val="2"/>
        <charset val="1"/>
      </rPr>
      <t xml:space="preserve">Gate</t>
    </r>
    <r>
      <rPr>
        <sz val="10"/>
        <rFont val="Linux Libertine G"/>
        <family val="2"/>
      </rPr>
      <t xml:space="preserve">；普通问题本轮直接修复复验，最终通过后冻结并开启 </t>
    </r>
    <r>
      <rPr>
        <sz val="10"/>
        <rFont val="Arial"/>
        <family val="2"/>
        <charset val="1"/>
      </rPr>
      <t xml:space="preserve">V5</t>
    </r>
    <r>
      <rPr>
        <sz val="10"/>
        <rFont val="Linux Libertine G"/>
        <family val="2"/>
      </rPr>
      <t xml:space="preserve">。</t>
    </r>
  </si>
  <si>
    <r>
      <rPr>
        <sz val="10"/>
        <rFont val="Linux Libertine G"/>
        <family val="2"/>
      </rPr>
      <t xml:space="preserve">减少机械审计切片，同时保留 </t>
    </r>
    <r>
      <rPr>
        <sz val="10"/>
        <rFont val="Arial"/>
        <family val="2"/>
        <charset val="1"/>
      </rPr>
      <t xml:space="preserve">C0/</t>
    </r>
    <r>
      <rPr>
        <sz val="10"/>
        <rFont val="Linux Libertine G"/>
        <family val="2"/>
      </rPr>
      <t xml:space="preserve">存档等高风险边界与最终回归证据。</t>
    </r>
  </si>
  <si>
    <t xml:space="preserve">V4-P6-T001,V4-P6-T002,V5-P0-T001</t>
  </si>
  <si>
    <t xml:space="preserve">规划变更日志</t>
  </si>
  <si>
    <t xml:space="preserve">只记录规划系统变化，不与产品代码变更混写。</t>
  </si>
  <si>
    <t xml:space="preserve">Plan Version</t>
  </si>
  <si>
    <t xml:space="preserve">Author</t>
  </si>
  <si>
    <t xml:space="preserve">Change Summary</t>
  </si>
  <si>
    <t xml:space="preserve">Affected Areas</t>
  </si>
  <si>
    <t xml:space="preserve">Reason</t>
  </si>
  <si>
    <t xml:space="preserve">0.1.0-draft</t>
  </si>
  <si>
    <t xml:space="preserve">初建长期开发控制系统</t>
  </si>
  <si>
    <r>
      <rPr>
        <sz val="9"/>
        <color rgb="FF24323D"/>
        <rFont val="Linux Libertine G"/>
        <family val="2"/>
      </rPr>
      <t xml:space="preserve">新增 </t>
    </r>
    <r>
      <rPr>
        <sz val="9"/>
        <color rgb="FF24323D"/>
        <rFont val="Hiragino Sans GB"/>
        <family val="0"/>
        <charset val="1"/>
      </rPr>
      <t xml:space="preserve">13 sheets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V4–V12 </t>
    </r>
    <r>
      <rPr>
        <sz val="9"/>
        <color rgb="FF24323D"/>
        <rFont val="Linux Libertine G"/>
        <family val="2"/>
      </rPr>
      <t xml:space="preserve">路线、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详细任务、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中度任务、验收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所有权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风险索引</t>
    </r>
  </si>
  <si>
    <t xml:space="preserve">提交独立复查</t>
  </si>
  <si>
    <t xml:space="preserve">0.1.0-review1</t>
  </si>
  <si>
    <t xml:space="preserve">2026-07-28</t>
  </si>
  <si>
    <r>
      <rPr>
        <sz val="9"/>
        <color rgb="FF24323D"/>
        <rFont val="Linux Libertine G"/>
        <family val="2"/>
      </rPr>
      <t xml:space="preserve">处理独立审查 </t>
    </r>
    <r>
      <rPr>
        <sz val="9"/>
        <color rgb="FF24323D"/>
        <rFont val="Hiragino Sans GB"/>
        <family val="0"/>
        <charset val="1"/>
      </rPr>
      <t xml:space="preserve">PLAN-001</t>
    </r>
    <r>
      <rPr>
        <sz val="9"/>
        <color rgb="FF24323D"/>
        <rFont val="Linux Libertine G"/>
        <family val="2"/>
      </rPr>
      <t xml:space="preserve">～</t>
    </r>
    <r>
      <rPr>
        <sz val="9"/>
        <color rgb="FF24323D"/>
        <rFont val="Hiragino Sans GB"/>
        <family val="0"/>
        <charset val="1"/>
      </rPr>
      <t xml:space="preserve">006</t>
    </r>
  </si>
  <si>
    <r>
      <rPr>
        <sz val="9"/>
        <color rgb="FF24323D"/>
        <rFont val="Hiragino Sans GB"/>
        <family val="0"/>
        <charset val="1"/>
      </rPr>
      <t xml:space="preserve">V5/V6 ArmyState </t>
    </r>
    <r>
      <rPr>
        <sz val="9"/>
        <color rgb="FF24323D"/>
        <rFont val="Linux Libertine G"/>
        <family val="2"/>
      </rPr>
      <t xml:space="preserve">边界、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回滚、测试注册表、远期粒度、证据标签、</t>
    </r>
    <r>
      <rPr>
        <sz val="9"/>
        <color rgb="FF24323D"/>
        <rFont val="Hiragino Sans GB"/>
        <family val="0"/>
        <charset val="1"/>
      </rPr>
      <t xml:space="preserve">review identity</t>
    </r>
  </si>
  <si>
    <t xml:space="preserve">关闭初审阻断项并请求复审</t>
  </si>
  <si>
    <t xml:space="preserve">0.2.0-review2</t>
  </si>
  <si>
    <r>
      <rPr>
        <sz val="9"/>
        <color rgb="FF24323D"/>
        <rFont val="Hiragino Sans GB"/>
        <family val="0"/>
        <charset val="1"/>
      </rPr>
      <t xml:space="preserve">PLAN-REPAIR-001 </t>
    </r>
    <r>
      <rPr>
        <sz val="9"/>
        <color rgb="FF24323D"/>
        <rFont val="Linux Libertine G"/>
        <family val="2"/>
      </rPr>
      <t xml:space="preserve">修正规划控制系统</t>
    </r>
  </si>
  <si>
    <r>
      <rPr>
        <sz val="9"/>
        <color rgb="FF24323D"/>
        <rFont val="Linux Libertine G"/>
        <family val="2"/>
      </rPr>
      <t xml:space="preserve">建立 </t>
    </r>
    <r>
      <rPr>
        <sz val="9"/>
        <color rgb="FF24323D"/>
        <rFont val="Hiragino Sans GB"/>
        <family val="0"/>
        <charset val="1"/>
      </rPr>
      <t xml:space="preserve">63 </t>
    </r>
    <r>
      <rPr>
        <sz val="9"/>
        <color rgb="FF24323D"/>
        <rFont val="Linux Libertine G"/>
        <family val="2"/>
      </rPr>
      <t xml:space="preserve">个阶段门实例；移除 </t>
    </r>
    <r>
      <rPr>
        <sz val="9"/>
        <color rgb="FF24323D"/>
        <rFont val="Hiragino Sans GB"/>
        <family val="0"/>
        <charset val="1"/>
      </rPr>
      <t xml:space="preserve">18 </t>
    </r>
    <r>
      <rPr>
        <sz val="9"/>
        <color rgb="FF24323D"/>
        <rFont val="Linux Libertine G"/>
        <family val="2"/>
      </rPr>
      <t xml:space="preserve">个无引用的重复需求占位测试；新增真实但未运行的架构所有权复查；双向映射、公式、冻结窗格、中文字体和三类镜像同步</t>
    </r>
  </si>
  <si>
    <r>
      <rPr>
        <sz val="9"/>
        <color rgb="FF24323D"/>
        <rFont val="Linux Libertine G"/>
        <family val="2"/>
      </rPr>
      <t xml:space="preserve">修复审计发现且不启动 </t>
    </r>
    <r>
      <rPr>
        <sz val="9"/>
        <color rgb="FF24323D"/>
        <rFont val="Hiragino Sans GB"/>
        <family val="0"/>
        <charset val="1"/>
      </rPr>
      <t xml:space="preserve">V4/V5</t>
    </r>
  </si>
  <si>
    <t xml:space="preserve">0.3.0-review3-hold</t>
  </si>
  <si>
    <r>
      <rPr>
        <sz val="9"/>
        <color rgb="FF24323D"/>
        <rFont val="Hiragino Sans GB"/>
        <family val="0"/>
        <charset val="1"/>
      </rPr>
      <t xml:space="preserve">PLAN-REPAIR-002 </t>
    </r>
    <r>
      <rPr>
        <sz val="9"/>
        <color rgb="FF24323D"/>
        <rFont val="Linux Libertine G"/>
        <family val="2"/>
      </rPr>
      <t xml:space="preserve">修复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控制与字体覆盖</t>
    </r>
  </si>
  <si>
    <r>
      <rPr>
        <sz val="9"/>
        <color rgb="FF24323D"/>
        <rFont val="Linux Libertine G"/>
        <family val="2"/>
      </rPr>
      <t xml:space="preserve">消除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冻结循环；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展开真实 </t>
    </r>
    <r>
      <rPr>
        <sz val="9"/>
        <color rgb="FF24323D"/>
        <rFont val="Hiragino Sans GB"/>
        <family val="0"/>
        <charset val="1"/>
      </rPr>
      <t xml:space="preserve">Task/Test ID</t>
    </r>
    <r>
      <rPr>
        <sz val="9"/>
        <color rgb="FF24323D"/>
        <rFont val="Linux Libertine G"/>
        <family val="2"/>
      </rPr>
      <t xml:space="preserve">；增加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双向索引；规划需求改挂规划任务；全表中文字体覆盖</t>
    </r>
  </si>
  <si>
    <r>
      <rPr>
        <sz val="9"/>
        <color rgb="FF24323D"/>
        <rFont val="Linux Libertine G"/>
        <family val="2"/>
      </rPr>
      <t xml:space="preserve">保持 </t>
    </r>
    <r>
      <rPr>
        <sz val="9"/>
        <color rgb="FF24323D"/>
        <rFont val="Hiragino Sans GB"/>
        <family val="0"/>
        <charset val="1"/>
      </rPr>
      <t xml:space="preserve">V4-P5 HOLD</t>
    </r>
    <r>
      <rPr>
        <sz val="9"/>
        <color rgb="FF24323D"/>
        <rFont val="Linux Libertine G"/>
        <family val="2"/>
      </rPr>
      <t xml:space="preserve">，不启动 </t>
    </r>
    <r>
      <rPr>
        <sz val="9"/>
        <color rgb="FF24323D"/>
        <rFont val="Hiragino Sans GB"/>
        <family val="0"/>
        <charset val="1"/>
      </rPr>
      <t xml:space="preserve">V5</t>
    </r>
  </si>
  <si>
    <t xml:space="preserve">0.4.0-state-sync-001</t>
  </si>
  <si>
    <r>
      <rPr>
        <sz val="9"/>
        <color rgb="FF24323D"/>
        <rFont val="Hiragino Sans GB"/>
        <family val="0"/>
        <charset val="1"/>
      </rPr>
      <t xml:space="preserve">PLAN-STATE-SYNC-001 </t>
    </r>
    <r>
      <rPr>
        <sz val="9"/>
        <color rgb="FF24323D"/>
        <rFont val="Linux Libertine G"/>
        <family val="2"/>
      </rPr>
      <t xml:space="preserve">同步用户接受决定</t>
    </r>
  </si>
  <si>
    <r>
      <rPr>
        <sz val="9"/>
        <color rgb="FF24323D"/>
        <rFont val="Hiragino Sans GB"/>
        <family val="0"/>
        <charset val="1"/>
      </rPr>
      <t xml:space="preserve">PLAN-REPAIR-002→VERIFIED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RVW-PLAN-003→USER_ACCEPTED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V4-G0→VERIFIED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V4-P5-T001→</t>
    </r>
    <r>
      <rPr>
        <sz val="9"/>
        <color rgb="FF24323D"/>
        <rFont val="Linux Libertine G"/>
        <family val="2"/>
      </rPr>
      <t xml:space="preserve">唯一 </t>
    </r>
    <r>
      <rPr>
        <sz val="9"/>
        <color rgb="FF24323D"/>
        <rFont val="Hiragino Sans GB"/>
        <family val="0"/>
        <charset val="1"/>
      </rPr>
      <t xml:space="preserve">READY</t>
    </r>
  </si>
  <si>
    <r>
      <rPr>
        <sz val="9"/>
        <color rgb="FF24323D"/>
        <rFont val="Linux Libertine G"/>
        <family val="2"/>
      </rPr>
      <t xml:space="preserve">只开放下一轮独立技术复查；不执行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、不冻结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、不启动 </t>
    </r>
    <r>
      <rPr>
        <sz val="9"/>
        <color rgb="FF24323D"/>
        <rFont val="Hiragino Sans GB"/>
        <family val="0"/>
        <charset val="1"/>
      </rPr>
      <t xml:space="preserve">V5</t>
    </r>
  </si>
  <si>
    <t xml:space="preserve">0.5.0-v4-tech-review-002</t>
  </si>
  <si>
    <r>
      <rPr>
        <sz val="10"/>
        <rFont val="Arial"/>
        <family val="2"/>
        <charset val="1"/>
      </rPr>
      <t xml:space="preserve">V4-P5-T001 </t>
    </r>
    <r>
      <rPr>
        <sz val="10"/>
        <rFont val="Linux Libertine G"/>
        <family val="2"/>
      </rPr>
      <t xml:space="preserve">修复后独立复审通过并机械同步技术 </t>
    </r>
    <r>
      <rPr>
        <sz val="10"/>
        <rFont val="Arial"/>
        <family val="2"/>
        <charset val="1"/>
      </rPr>
      <t xml:space="preserve">Gate</t>
    </r>
  </si>
  <si>
    <r>
      <rPr>
        <sz val="10"/>
        <rFont val="Arial"/>
        <family val="2"/>
        <charset val="1"/>
      </rPr>
      <t xml:space="preserve">V4-P5-T001→VERIFIED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V4-G1</t>
    </r>
    <r>
      <rPr>
        <sz val="10"/>
        <rFont val="Linux Libertine G"/>
        <family val="2"/>
      </rPr>
      <t xml:space="preserve">～</t>
    </r>
    <r>
      <rPr>
        <sz val="10"/>
        <rFont val="Arial"/>
        <family val="2"/>
        <charset val="1"/>
      </rPr>
      <t xml:space="preserve">G5→VERIFIED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V4-P6-T001→</t>
    </r>
    <r>
      <rPr>
        <sz val="10"/>
        <rFont val="Linux Libertine G"/>
        <family val="2"/>
      </rPr>
      <t xml:space="preserve">唯一 </t>
    </r>
    <r>
      <rPr>
        <sz val="10"/>
        <rFont val="Arial"/>
        <family val="2"/>
        <charset val="1"/>
      </rPr>
      <t xml:space="preserve">READY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T-V4-003/G6/V5 </t>
    </r>
    <r>
      <rPr>
        <sz val="10"/>
        <rFont val="Linux Libertine G"/>
        <family val="2"/>
      </rPr>
      <t xml:space="preserve">保持未开始</t>
    </r>
  </si>
  <si>
    <r>
      <rPr>
        <sz val="10"/>
        <rFont val="Linux Libertine G"/>
        <family val="2"/>
      </rPr>
      <t xml:space="preserve">此前三个 </t>
    </r>
    <r>
      <rPr>
        <sz val="10"/>
        <rFont val="Arial"/>
        <family val="2"/>
        <charset val="1"/>
      </rPr>
      <t xml:space="preserve">IMPORTANT </t>
    </r>
    <r>
      <rPr>
        <sz val="10"/>
        <rFont val="Linux Libertine G"/>
        <family val="2"/>
      </rPr>
      <t xml:space="preserve">独立关闭，自动</t>
    </r>
    <r>
      <rPr>
        <sz val="10"/>
        <rFont val="Arial"/>
        <family val="2"/>
        <charset val="1"/>
      </rPr>
      <t xml:space="preserve">/</t>
    </r>
    <r>
      <rPr>
        <sz val="10"/>
        <rFont val="Linux Libertine G"/>
        <family val="2"/>
      </rPr>
      <t xml:space="preserve">真实窗口</t>
    </r>
    <r>
      <rPr>
        <sz val="10"/>
        <rFont val="Arial"/>
        <family val="2"/>
        <charset val="1"/>
      </rPr>
      <t xml:space="preserve">/</t>
    </r>
    <r>
      <rPr>
        <sz val="10"/>
        <rFont val="Linux Libertine G"/>
        <family val="2"/>
      </rPr>
      <t xml:space="preserve">结束保护均通过</t>
    </r>
  </si>
  <si>
    <t xml:space="preserve">0.6.0-v4-milestone-closure-001</t>
  </si>
  <si>
    <r>
      <rPr>
        <sz val="10"/>
        <rFont val="Arial"/>
        <family val="2"/>
        <charset val="1"/>
      </rPr>
      <t xml:space="preserve">V4 </t>
    </r>
    <r>
      <rPr>
        <sz val="10"/>
        <rFont val="Linux Libertine G"/>
        <family val="2"/>
      </rPr>
      <t xml:space="preserve">最终综合 </t>
    </r>
    <r>
      <rPr>
        <sz val="10"/>
        <rFont val="Arial"/>
        <family val="2"/>
        <charset val="1"/>
      </rPr>
      <t xml:space="preserve">Gate </t>
    </r>
    <r>
      <rPr>
        <sz val="10"/>
        <rFont val="Linux Libertine G"/>
        <family val="2"/>
      </rPr>
      <t xml:space="preserve">通过并形成冻结 </t>
    </r>
    <r>
      <rPr>
        <sz val="10"/>
        <rFont val="Arial"/>
        <family val="2"/>
        <charset val="1"/>
      </rPr>
      <t xml:space="preserve">checkpoint</t>
    </r>
    <r>
      <rPr>
        <sz val="10"/>
        <rFont val="Linux Libertine G"/>
        <family val="2"/>
      </rPr>
      <t xml:space="preserve">，</t>
    </r>
    <r>
      <rPr>
        <sz val="10"/>
        <rFont val="Arial"/>
        <family val="2"/>
        <charset val="1"/>
      </rPr>
      <t xml:space="preserve">V5 </t>
    </r>
    <r>
      <rPr>
        <sz val="10"/>
        <rFont val="Linux Libertine G"/>
        <family val="2"/>
      </rPr>
      <t xml:space="preserve">解冻</t>
    </r>
  </si>
  <si>
    <r>
      <rPr>
        <sz val="10"/>
        <rFont val="Arial"/>
        <family val="2"/>
        <charset val="1"/>
      </rPr>
      <t xml:space="preserve">T-V4-003→PASS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V4-P4/P6→VERIFIED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V4-G6→VERIFIED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V4→VERIFIED/FROZEN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  <charset val="1"/>
      </rPr>
      <t xml:space="preserve">V5-P0-T001→READY</t>
    </r>
    <r>
      <rPr>
        <sz val="10"/>
        <rFont val="Linux Libertine G"/>
        <family val="2"/>
      </rPr>
      <t xml:space="preserve">；新增 </t>
    </r>
    <r>
      <rPr>
        <sz val="10"/>
        <rFont val="Arial"/>
        <family val="2"/>
        <charset val="1"/>
      </rPr>
      <t xml:space="preserve">DEC-004</t>
    </r>
  </si>
  <si>
    <r>
      <rPr>
        <sz val="10"/>
        <rFont val="Linux Libertine G"/>
        <family val="2"/>
      </rPr>
      <t xml:space="preserve">用户接受 </t>
    </r>
    <r>
      <rPr>
        <sz val="10"/>
        <rFont val="Arial"/>
        <family val="2"/>
        <charset val="1"/>
      </rPr>
      <t xml:space="preserve">Review 002</t>
    </r>
    <r>
      <rPr>
        <sz val="10"/>
        <rFont val="Linux Libertine G"/>
        <family val="2"/>
      </rPr>
      <t xml:space="preserve">；最终八态、专项、全量、场景、</t>
    </r>
    <r>
      <rPr>
        <sz val="10"/>
        <rFont val="Arial"/>
        <family val="2"/>
        <charset val="1"/>
      </rPr>
      <t xml:space="preserve">editor</t>
    </r>
    <r>
      <rPr>
        <sz val="10"/>
        <rFont val="Linux Libertine G"/>
        <family val="2"/>
      </rPr>
      <t xml:space="preserve">、</t>
    </r>
    <r>
      <rPr>
        <sz val="10"/>
        <rFont val="Arial"/>
        <family val="2"/>
        <charset val="1"/>
      </rPr>
      <t xml:space="preserve">diff </t>
    </r>
    <r>
      <rPr>
        <sz val="10"/>
        <rFont val="Linux Libertine G"/>
        <family val="2"/>
      </rPr>
      <t xml:space="preserve">与错误签名均通过</t>
    </r>
  </si>
  <si>
    <t xml:space="preserve">TXWZS_V4_MILESTONE_CLOSURE_001</t>
  </si>
  <si>
    <r>
      <rPr>
        <sz val="10"/>
        <rFont val="Linux Libertine G"/>
        <family val="2"/>
      </rPr>
      <t xml:space="preserve">实现 </t>
    </r>
    <r>
      <rPr>
        <sz val="10"/>
        <rFont val="Arial"/>
        <family val="2"/>
      </rPr>
      <t xml:space="preserve">V5 P0 </t>
    </r>
    <r>
      <rPr>
        <sz val="10"/>
        <rFont val="Linux Libertine G"/>
        <family val="2"/>
      </rPr>
      <t xml:space="preserve">基线合同与 </t>
    </r>
    <r>
      <rPr>
        <sz val="10"/>
        <rFont val="Arial"/>
        <family val="2"/>
      </rPr>
      <t xml:space="preserve">P1 </t>
    </r>
    <r>
      <rPr>
        <sz val="10"/>
        <rFont val="Linux Libertine G"/>
        <family val="2"/>
      </rPr>
      <t xml:space="preserve">单兵种驻军首切片</t>
    </r>
  </si>
  <si>
    <r>
      <rPr>
        <sz val="10"/>
        <rFont val="Arial"/>
        <family val="2"/>
      </rPr>
      <t xml:space="preserve">V5-P0/P1→IMPLEMENTED_PENDING_REVIEW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V5-G0/G1/G2→IMPLEMENTED_PENDING_REVIEW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V5→IN_PROGRESS</t>
    </r>
  </si>
  <si>
    <r>
      <rPr>
        <sz val="10"/>
        <rFont val="Linux Libertine G"/>
        <family val="2"/>
      </rPr>
      <t xml:space="preserve">形成可运行、可观察的驻军</t>
    </r>
    <r>
      <rPr>
        <sz val="10"/>
        <rFont val="Arial"/>
        <family val="2"/>
      </rPr>
      <t xml:space="preserve">/</t>
    </r>
    <r>
      <rPr>
        <sz val="10"/>
        <rFont val="Linux Libertine G"/>
        <family val="2"/>
      </rPr>
      <t xml:space="preserve">可派 </t>
    </r>
    <r>
      <rPr>
        <sz val="10"/>
        <rFont val="Arial"/>
        <family val="2"/>
      </rPr>
      <t xml:space="preserve">UI </t>
    </r>
    <r>
      <rPr>
        <sz val="10"/>
        <rFont val="Linux Libertine G"/>
        <family val="2"/>
      </rPr>
      <t xml:space="preserve">与唯一驻军源，同时保持 </t>
    </r>
    <r>
      <rPr>
        <sz val="10"/>
        <rFont val="Arial"/>
        <family val="2"/>
      </rPr>
      <t xml:space="preserve">S1A.2 </t>
    </r>
    <r>
      <rPr>
        <sz val="10"/>
        <rFont val="Linux Libertine G"/>
        <family val="2"/>
      </rPr>
      <t xml:space="preserve">隔离</t>
    </r>
  </si>
  <si>
    <t xml:space="preserve">TXWZS_V5_SINGLE_UNIT_GARRISON_SLICE_001</t>
  </si>
  <si>
    <t xml:space="preserve">禁止范围与保护</t>
  </si>
  <si>
    <t xml:space="preserve">任何实现任务开始前先核对此表；未知修改、迁移、依赖或不可逆操作触发停止。</t>
  </si>
  <si>
    <t xml:space="preserve">Scope</t>
  </si>
  <si>
    <t xml:space="preserve">Protected / Forbidden</t>
  </si>
  <si>
    <t xml:space="preserve">Verification</t>
  </si>
  <si>
    <t xml:space="preserve">Authority</t>
  </si>
  <si>
    <r>
      <rPr>
        <sz val="9"/>
        <color rgb="FF24323D"/>
        <rFont val="Linux Libertine G"/>
        <family val="0"/>
        <charset val="1"/>
      </rPr>
      <t xml:space="preserve">V5 P0/P1 candidate </t>
    </r>
    <r>
      <rPr>
        <sz val="9"/>
        <color rgb="FF24323D"/>
        <rFont val="Linux Libertine G"/>
        <family val="2"/>
      </rPr>
      <t xml:space="preserve">只含合同、驻军源、兼容适配、</t>
    </r>
    <r>
      <rPr>
        <sz val="9"/>
        <color rgb="FF24323D"/>
        <rFont val="Linux Libertine G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Linux Libertine G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；不启动 </t>
    </r>
    <r>
      <rPr>
        <sz val="9"/>
        <color rgb="FF24323D"/>
        <rFont val="Linux Libertine G"/>
        <family val="0"/>
        <charset val="1"/>
      </rPr>
      <t xml:space="preserve">P2/P3/P5</t>
    </r>
  </si>
  <si>
    <t xml:space="preserve">V5 first substantive slice pending package review</t>
  </si>
  <si>
    <r>
      <rPr>
        <sz val="9"/>
        <color rgb="FF24323D"/>
        <rFont val="Linux Libertine G"/>
        <family val="0"/>
        <charset val="1"/>
      </rPr>
      <t xml:space="preserve">V5-G0/G1/G2 </t>
    </r>
    <r>
      <rPr>
        <sz val="9"/>
        <color rgb="FF24323D"/>
        <rFont val="Linux Libertine G"/>
        <family val="2"/>
      </rPr>
      <t xml:space="preserve">不得由实现者自改 </t>
    </r>
    <r>
      <rPr>
        <sz val="9"/>
        <color rgb="FF24323D"/>
        <rFont val="Linux Libertine G"/>
        <family val="0"/>
        <charset val="1"/>
      </rPr>
      <t xml:space="preserve">VERIFIED</t>
    </r>
  </si>
  <si>
    <r>
      <rPr>
        <sz val="9"/>
        <color rgb="FF24323D"/>
        <rFont val="Linux Libertine G"/>
        <family val="2"/>
      </rPr>
      <t xml:space="preserve">用户任务 </t>
    </r>
    <r>
      <rPr>
        <sz val="9"/>
        <color rgb="FF24323D"/>
        <rFont val="Hiragino Sans GB"/>
        <family val="0"/>
        <charset val="1"/>
      </rPr>
      <t xml:space="preserve">+ AGENTS</t>
    </r>
  </si>
  <si>
    <t xml:space="preserve">S1A.2</t>
  </si>
  <si>
    <r>
      <rPr>
        <sz val="9"/>
        <color rgb="FF24323D"/>
        <rFont val="Linux Libertine G"/>
        <family val="2"/>
      </rPr>
      <t xml:space="preserve">八个 </t>
    </r>
    <r>
      <rPr>
        <sz val="9"/>
        <color rgb="FF24323D"/>
        <rFont val="Hiragino Sans GB"/>
        <family val="0"/>
        <charset val="1"/>
      </rPr>
      <t xml:space="preserve">untracked </t>
    </r>
    <r>
      <rPr>
        <sz val="9"/>
        <color rgb="FF24323D"/>
        <rFont val="Linux Libertine G"/>
        <family val="2"/>
      </rPr>
      <t xml:space="preserve">文件哈希必须保持不变</t>
    </r>
  </si>
  <si>
    <t xml:space="preserve">受保护现场</t>
  </si>
  <si>
    <r>
      <rPr>
        <sz val="9"/>
        <color rgb="FF24323D"/>
        <rFont val="Linux Libertine G"/>
        <family val="2"/>
      </rPr>
      <t xml:space="preserve">前后 </t>
    </r>
    <r>
      <rPr>
        <sz val="9"/>
        <color rgb="FF24323D"/>
        <rFont val="Hiragino Sans GB"/>
        <family val="0"/>
        <charset val="1"/>
      </rPr>
      <t xml:space="preserve">shasum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</si>
  <si>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已冻结；不得在 </t>
    </r>
    <r>
      <rPr>
        <sz val="9"/>
        <color rgb="FF24323D"/>
        <rFont val="Hiragino Sans GB"/>
        <family val="0"/>
        <charset val="1"/>
      </rPr>
      <t xml:space="preserve">frozen candidate </t>
    </r>
    <r>
      <rPr>
        <sz val="9"/>
        <color rgb="FF24323D"/>
        <rFont val="Linux Libertine G"/>
        <family val="2"/>
      </rPr>
      <t xml:space="preserve">上继续叠加普通修改</t>
    </r>
  </si>
  <si>
    <r>
      <rPr>
        <sz val="9"/>
        <color rgb="FF24323D"/>
        <rFont val="Linux Libertine G"/>
        <family val="2"/>
      </rPr>
      <t xml:space="preserve">后续只通过已登记 </t>
    </r>
    <r>
      <rPr>
        <sz val="9"/>
        <color rgb="FF24323D"/>
        <rFont val="Hiragino Sans GB"/>
        <family val="0"/>
        <charset val="1"/>
      </rPr>
      <t xml:space="preserve">V5/V6 adapter </t>
    </r>
    <r>
      <rPr>
        <sz val="9"/>
        <color rgb="FF24323D"/>
        <rFont val="Linux Libertine G"/>
        <family val="2"/>
      </rPr>
      <t xml:space="preserve">连接权威状态</t>
    </r>
  </si>
  <si>
    <r>
      <rPr>
        <sz val="9"/>
        <color rgb="FF24323D"/>
        <rFont val="Hiragino Sans GB"/>
        <family val="0"/>
        <charset val="1"/>
      </rPr>
      <t xml:space="preserve">V4-G0</t>
    </r>
    <r>
      <rPr>
        <sz val="9"/>
        <color rgb="FF24323D"/>
        <rFont val="Linux Libertine G"/>
        <family val="2"/>
      </rPr>
      <t xml:space="preserve">～</t>
    </r>
    <r>
      <rPr>
        <sz val="9"/>
        <color rgb="FF24323D"/>
        <rFont val="Hiragino Sans GB"/>
        <family val="0"/>
        <charset val="1"/>
      </rPr>
      <t xml:space="preserve">G6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T-V4-003 PASS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local checkpoint</t>
    </r>
  </si>
  <si>
    <t xml:space="preserve">User + AGENTS</t>
  </si>
  <si>
    <t xml:space="preserve">Git</t>
  </si>
  <si>
    <r>
      <rPr>
        <sz val="9"/>
        <color rgb="FF24323D"/>
        <rFont val="Linux Libertine G"/>
        <family val="2"/>
      </rPr>
      <t xml:space="preserve">不 </t>
    </r>
    <r>
      <rPr>
        <sz val="9"/>
        <color rgb="FF24323D"/>
        <rFont val="Hiragino Sans GB"/>
        <family val="0"/>
        <charset val="1"/>
      </rPr>
      <t xml:space="preserve">push</t>
    </r>
    <r>
      <rPr>
        <sz val="9"/>
        <color rgb="FF24323D"/>
        <rFont val="Linux Libertine G"/>
        <family val="2"/>
      </rPr>
      <t xml:space="preserve">／发布／部署；不提交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；不做破坏性历史改写</t>
    </r>
  </si>
  <si>
    <r>
      <rPr>
        <sz val="9"/>
        <color rgb="FF24323D"/>
        <rFont val="Linux Libertine G"/>
        <family val="2"/>
      </rPr>
      <t xml:space="preserve">只形成用户授权的本地 </t>
    </r>
    <r>
      <rPr>
        <sz val="9"/>
        <color rgb="FF24323D"/>
        <rFont val="Hiragino Sans GB"/>
        <family val="0"/>
        <charset val="1"/>
      </rPr>
      <t xml:space="preserve">V4 checkpoint</t>
    </r>
  </si>
  <si>
    <t xml:space="preserve">staged diff + git diff --check + protected status</t>
  </si>
  <si>
    <r>
      <rPr>
        <sz val="9"/>
        <color rgb="FF24323D"/>
        <rFont val="Hiragino Sans GB"/>
        <family val="0"/>
        <charset val="1"/>
      </rPr>
      <t xml:space="preserve">AGENTS + </t>
    </r>
    <r>
      <rPr>
        <sz val="9"/>
        <color rgb="FF24323D"/>
        <rFont val="Linux Libertine G"/>
        <family val="2"/>
      </rPr>
      <t xml:space="preserve">用户任务</t>
    </r>
  </si>
  <si>
    <t xml:space="preserve">持久数据</t>
  </si>
  <si>
    <t xml:space="preserve">不修改正式存档或生产数据</t>
  </si>
  <si>
    <t xml:space="preserve">当前无验收磁盘基线</t>
  </si>
  <si>
    <t xml:space="preserve">只读</t>
  </si>
  <si>
    <t xml:space="preserve">依赖</t>
  </si>
  <si>
    <r>
      <rPr>
        <sz val="9"/>
        <color rgb="FF24323D"/>
        <rFont val="Linux Libertine G"/>
        <family val="2"/>
      </rPr>
      <t xml:space="preserve">不安装 </t>
    </r>
    <r>
      <rPr>
        <sz val="9"/>
        <color rgb="FF24323D"/>
        <rFont val="Hiragino Sans GB"/>
        <family val="0"/>
        <charset val="1"/>
      </rPr>
      <t xml:space="preserve">Skill/</t>
    </r>
    <r>
      <rPr>
        <sz val="9"/>
        <color rgb="FF24323D"/>
        <rFont val="Linux Libertine G"/>
        <family val="2"/>
      </rPr>
      <t xml:space="preserve">插件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包</t>
    </r>
  </si>
  <si>
    <r>
      <rPr>
        <sz val="9"/>
        <color rgb="FF24323D"/>
        <rFont val="Linux Libertine G"/>
        <family val="2"/>
      </rPr>
      <t xml:space="preserve">使用 </t>
    </r>
    <r>
      <rPr>
        <sz val="9"/>
        <color rgb="FF24323D"/>
        <rFont val="Hiragino Sans GB"/>
        <family val="0"/>
        <charset val="1"/>
      </rPr>
      <t xml:space="preserve">bundled spreadsheet runtime</t>
    </r>
  </si>
  <si>
    <t xml:space="preserve">loader evidence</t>
  </si>
  <si>
    <t xml:space="preserve">远期规划</t>
  </si>
  <si>
    <r>
      <rPr>
        <sz val="9"/>
        <color rgb="FF24323D"/>
        <rFont val="Hiragino Sans GB"/>
        <family val="0"/>
        <charset val="1"/>
      </rPr>
      <t xml:space="preserve">V7–V12 </t>
    </r>
    <r>
      <rPr>
        <sz val="9"/>
        <color rgb="FF24323D"/>
        <rFont val="Linux Libertine G"/>
        <family val="2"/>
      </rPr>
      <t xml:space="preserve">不伪造数值和文件名</t>
    </r>
  </si>
  <si>
    <t xml:space="preserve">滚动式拆解</t>
  </si>
  <si>
    <t xml:space="preserve">阶段开工前刷新</t>
  </si>
  <si>
    <t xml:space="preserve">权限边界</t>
  </si>
  <si>
    <r>
      <rPr>
        <sz val="9"/>
        <color rgb="FF24323D"/>
        <rFont val="Hiragino Sans GB"/>
        <family val="0"/>
        <charset val="1"/>
      </rPr>
      <t xml:space="preserve">push/</t>
    </r>
    <r>
      <rPr>
        <sz val="9"/>
        <color rgb="FF24323D"/>
        <rFont val="Linux Libertine G"/>
        <family val="2"/>
      </rPr>
      <t xml:space="preserve">发布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部署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远端仓库创建需用户明确授权</t>
    </r>
  </si>
  <si>
    <t xml:space="preserve">长期收尾协议</t>
  </si>
  <si>
    <t xml:space="preserve">每阶段门检查</t>
  </si>
  <si>
    <t xml:space="preserve">AGENTS</t>
  </si>
  <si>
    <t xml:space="preserve">独立复查</t>
  </si>
  <si>
    <r>
      <rPr>
        <sz val="9"/>
        <color rgb="FF24323D"/>
        <rFont val="Linux Libertine G"/>
        <family val="2"/>
      </rPr>
      <t xml:space="preserve">必须记录 </t>
    </r>
    <r>
      <rPr>
        <sz val="9"/>
        <color rgb="FF24323D"/>
        <rFont val="Hiragino Sans GB"/>
        <family val="0"/>
        <charset val="1"/>
      </rPr>
      <t xml:space="preserve">reviewer task identity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reviewed baseline/patch/hash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处置与 </t>
    </r>
    <r>
      <rPr>
        <sz val="9"/>
        <color rgb="FF24323D"/>
        <rFont val="Hiragino Sans GB"/>
        <family val="0"/>
        <charset val="1"/>
      </rPr>
      <t xml:space="preserve">re-review</t>
    </r>
    <r>
      <rPr>
        <sz val="9"/>
        <color rgb="FF24323D"/>
        <rFont val="Linux Libertine G"/>
        <family val="2"/>
      </rPr>
      <t xml:space="preserve">；实现者不得自审通过</t>
    </r>
  </si>
  <si>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门</t>
    </r>
  </si>
  <si>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表 </t>
    </r>
    <r>
      <rPr>
        <sz val="9"/>
        <color rgb="FF24323D"/>
        <rFont val="Hiragino Sans GB"/>
        <family val="0"/>
        <charset val="1"/>
      </rPr>
      <t xml:space="preserve">+ review </t>
    </r>
    <r>
      <rPr>
        <sz val="9"/>
        <color rgb="FF24323D"/>
        <rFont val="Linux Libertine G"/>
        <family val="2"/>
      </rPr>
      <t xml:space="preserve">报告</t>
    </r>
  </si>
  <si>
    <t xml:space="preserve">独立审查意见</t>
  </si>
  <si>
    <t xml:space="preserve">数据对象与所有权</t>
  </si>
  <si>
    <t xml:space="preserve">规划名称不等于已实现。当前实现、未来职责和迁移需求严格分开。</t>
  </si>
  <si>
    <t xml:space="preserve">对象／状态</t>
  </si>
  <si>
    <t xml:space="preserve">当前实现位置</t>
  </si>
  <si>
    <t xml:space="preserve">当前所有者</t>
  </si>
  <si>
    <t xml:space="preserve">当前生命周期</t>
  </si>
  <si>
    <t xml:space="preserve">当前持久化</t>
  </si>
  <si>
    <t xml:space="preserve">未来职责</t>
  </si>
  <si>
    <t xml:space="preserve">单一事实来源</t>
  </si>
  <si>
    <t xml:space="preserve">允许读写者</t>
  </si>
  <si>
    <t xml:space="preserve">迁移需求</t>
  </si>
  <si>
    <t xml:space="preserve">未确认问题</t>
  </si>
  <si>
    <t xml:space="preserve">实现状态</t>
  </si>
  <si>
    <t xml:space="preserve">scripts/construction_controller.gd</t>
  </si>
  <si>
    <t xml:space="preserve">城市运行时适配权威</t>
  </si>
  <si>
    <t xml:space="preserve">进程内主场景生命周期</t>
  </si>
  <si>
    <r>
      <rPr>
        <sz val="9"/>
        <color rgb="FF24323D"/>
        <rFont val="Linux Libertine G"/>
        <family val="2"/>
      </rPr>
      <t xml:space="preserve">内存；</t>
    </r>
    <r>
      <rPr>
        <sz val="9"/>
        <color rgb="FF24323D"/>
        <rFont val="Hiragino Sans GB"/>
        <family val="0"/>
        <charset val="1"/>
      </rPr>
      <t xml:space="preserve">EarlyCitySnapshotV1 </t>
    </r>
    <r>
      <rPr>
        <sz val="9"/>
        <color rgb="FF24323D"/>
        <rFont val="Linux Libertine G"/>
        <family val="2"/>
      </rPr>
      <t xml:space="preserve">可导出</t>
    </r>
  </si>
  <si>
    <r>
      <rPr>
        <sz val="9"/>
        <color rgb="FF24323D"/>
        <rFont val="Linux Libertine G"/>
        <family val="2"/>
      </rPr>
      <t xml:space="preserve">继续作为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唯一城市写入入口，是否拆分需后续 </t>
    </r>
    <r>
      <rPr>
        <sz val="9"/>
        <color rgb="FF24323D"/>
        <rFont val="Hiragino Sans GB"/>
        <family val="0"/>
        <charset val="1"/>
      </rPr>
      <t xml:space="preserve">ADR</t>
    </r>
  </si>
  <si>
    <r>
      <rPr>
        <sz val="9"/>
        <color rgb="FF24323D"/>
        <rFont val="Linux Libertine G"/>
        <family val="2"/>
      </rPr>
      <t xml:space="preserve">城市资源、日期、</t>
    </r>
    <r>
      <rPr>
        <sz val="9"/>
        <color rgb="FF24323D"/>
        <rFont val="Hiragino Sans GB"/>
        <family val="0"/>
        <charset val="1"/>
      </rPr>
      <t xml:space="preserve">placement</t>
    </r>
    <r>
      <rPr>
        <sz val="9"/>
        <color rgb="FF24323D"/>
        <rFont val="Linux Libertine G"/>
        <family val="2"/>
      </rPr>
      <t xml:space="preserve">、现有兵力与事务</t>
    </r>
  </si>
  <si>
    <r>
      <rPr>
        <sz val="9"/>
        <color rgb="FF24323D"/>
        <rFont val="Hiragino Sans GB"/>
        <family val="0"/>
        <charset val="1"/>
      </rPr>
      <t xml:space="preserve">UI/</t>
    </r>
    <r>
      <rPr>
        <sz val="9"/>
        <color rgb="FF24323D"/>
        <rFont val="Linux Libertine G"/>
        <family val="2"/>
      </rPr>
      <t xml:space="preserve">战斗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地图只经公开入口读写</t>
    </r>
  </si>
  <si>
    <t xml:space="preserve">未来渐进迁移，不复制</t>
  </si>
  <si>
    <r>
      <rPr>
        <sz val="9"/>
        <color rgb="FF24323D"/>
        <rFont val="Linux Libertine G"/>
        <family val="2"/>
      </rPr>
      <t xml:space="preserve">当前类 </t>
    </r>
    <r>
      <rPr>
        <sz val="9"/>
        <color rgb="FF24323D"/>
        <rFont val="Hiragino Sans GB"/>
        <family val="0"/>
        <charset val="1"/>
      </rPr>
      <t xml:space="preserve">3000+ </t>
    </r>
    <r>
      <rPr>
        <sz val="9"/>
        <color rgb="FF24323D"/>
        <rFont val="Linux Libertine G"/>
        <family val="2"/>
      </rPr>
      <t xml:space="preserve">行，需窄接口而非大重写</t>
    </r>
  </si>
  <si>
    <t xml:space="preserve">已实现</t>
  </si>
  <si>
    <t xml:space="preserve">EarlyCitySnapshotV1</t>
  </si>
  <si>
    <t xml:space="preserve">scripts/state/early_city_snapshot_v1.gd</t>
  </si>
  <si>
    <t xml:space="preserve">无状态校验器</t>
  </si>
  <si>
    <r>
      <rPr>
        <sz val="9"/>
        <color rgb="FF24323D"/>
        <rFont val="Linux Libertine G"/>
        <family val="2"/>
      </rPr>
      <t xml:space="preserve">调用期 </t>
    </r>
    <r>
      <rPr>
        <sz val="9"/>
        <color rgb="FF24323D"/>
        <rFont val="Hiragino Sans GB"/>
        <family val="0"/>
        <charset val="1"/>
      </rPr>
      <t xml:space="preserve">RefCounted</t>
    </r>
  </si>
  <si>
    <r>
      <rPr>
        <sz val="9"/>
        <color rgb="FF24323D"/>
        <rFont val="Hiragino Sans GB"/>
        <family val="0"/>
        <charset val="1"/>
      </rPr>
      <t xml:space="preserve">schema_version=1 </t>
    </r>
    <r>
      <rPr>
        <sz val="9"/>
        <color rgb="FF24323D"/>
        <rFont val="Linux Libertine G"/>
        <family val="2"/>
      </rPr>
      <t xml:space="preserve">内存快照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</si>
  <si>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迁移输入基线</t>
    </r>
  </si>
  <si>
    <t xml:space="preserve">早期城市源字段</t>
  </si>
  <si>
    <t xml:space="preserve">validator/controller</t>
  </si>
  <si>
    <r>
      <rPr>
        <sz val="9"/>
        <color rgb="FF24323D"/>
        <rFont val="Linux Libertine G"/>
        <family val="2"/>
      </rPr>
      <t xml:space="preserve">需新增 </t>
    </r>
    <r>
      <rPr>
        <sz val="9"/>
        <color rgb="FF24323D"/>
        <rFont val="Hiragino Sans GB"/>
        <family val="0"/>
        <charset val="1"/>
      </rPr>
      <t xml:space="preserve">V5 schema/migration</t>
    </r>
  </si>
  <si>
    <t xml:space="preserve">不含战斗、磁盘、外城</t>
  </si>
  <si>
    <r>
      <rPr>
        <sz val="9"/>
        <color rgb="FF24323D"/>
        <rFont val="Linux Libertine G"/>
        <family val="2"/>
      </rPr>
      <t xml:space="preserve">已实现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已验收</t>
    </r>
  </si>
  <si>
    <t xml:space="preserve">EarlyCitySaveStoreV1 / DiskCodecV1</t>
  </si>
  <si>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protected untracked </t>
    </r>
    <r>
      <rPr>
        <sz val="9"/>
        <color rgb="FF24323D"/>
        <rFont val="Linux Libertine G"/>
        <family val="2"/>
      </rPr>
      <t xml:space="preserve">文件</t>
    </r>
  </si>
  <si>
    <t xml:space="preserve">无冻结权威</t>
  </si>
  <si>
    <t xml:space="preserve">未提交实验</t>
  </si>
  <si>
    <t xml:space="preserve">磁盘候选</t>
  </si>
  <si>
    <r>
      <rPr>
        <sz val="9"/>
        <color rgb="FF24323D"/>
        <rFont val="Linux Libertine G"/>
        <family val="2"/>
      </rPr>
      <t xml:space="preserve">只能在 </t>
    </r>
    <r>
      <rPr>
        <sz val="9"/>
        <color rgb="FF24323D"/>
        <rFont val="Hiragino Sans GB"/>
        <family val="0"/>
        <charset val="1"/>
      </rPr>
      <t xml:space="preserve">V5-P5-T001 </t>
    </r>
    <r>
      <rPr>
        <sz val="9"/>
        <color rgb="FF24323D"/>
        <rFont val="Linux Libertine G"/>
        <family val="2"/>
      </rPr>
      <t xml:space="preserve">独立复审后决定复用</t>
    </r>
  </si>
  <si>
    <t xml:space="preserve">未知（不可作为事实）</t>
  </si>
  <si>
    <t xml:space="preserve">不得被本轮写入</t>
  </si>
  <si>
    <r>
      <rPr>
        <sz val="9"/>
        <color rgb="FF24323D"/>
        <rFont val="Linux Libertine G"/>
        <family val="2"/>
      </rPr>
      <t xml:space="preserve">可能修复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放弃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</t>
    </r>
  </si>
  <si>
    <r>
      <rPr>
        <sz val="9"/>
        <color rgb="FF24323D"/>
        <rFont val="Linux Libertine G"/>
        <family val="2"/>
      </rPr>
      <t xml:space="preserve">最新代码与既有 </t>
    </r>
    <r>
      <rPr>
        <sz val="9"/>
        <color rgb="FF24323D"/>
        <rFont val="Hiragino Sans GB"/>
        <family val="0"/>
        <charset val="1"/>
      </rPr>
      <t xml:space="preserve">BLOCKED </t>
    </r>
    <r>
      <rPr>
        <sz val="9"/>
        <color rgb="FF24323D"/>
        <rFont val="Linux Libertine G"/>
        <family val="2"/>
      </rPr>
      <t xml:space="preserve">状态冲突</t>
    </r>
  </si>
  <si>
    <t xml:space="preserve">未验收</t>
  </si>
  <si>
    <t xml:space="preserve">UnitRole</t>
  </si>
  <si>
    <t xml:space="preserve">scripts/content/unit_role.gd + infantry_basic.tres</t>
  </si>
  <si>
    <t xml:space="preserve">静态步兵角色定义</t>
  </si>
  <si>
    <r>
      <rPr>
        <sz val="9"/>
        <color rgb="FF24323D"/>
        <rFont val="Hiragino Sans GB"/>
        <family val="0"/>
        <charset val="1"/>
      </rPr>
      <t xml:space="preserve">Resource </t>
    </r>
    <r>
      <rPr>
        <sz val="9"/>
        <color rgb="FF24323D"/>
        <rFont val="Linux Libertine G"/>
        <family val="2"/>
      </rPr>
      <t xml:space="preserve">生命周期</t>
    </r>
  </si>
  <si>
    <t xml:space="preserve">资源文件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</si>
  <si>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评估是否演进为 </t>
    </r>
    <r>
      <rPr>
        <sz val="9"/>
        <color rgb="FF24323D"/>
        <rFont val="Hiragino Sans GB"/>
        <family val="0"/>
        <charset val="1"/>
      </rPr>
      <t xml:space="preserve">UnitDefinition </t>
    </r>
    <r>
      <rPr>
        <sz val="9"/>
        <color rgb="FF24323D"/>
        <rFont val="Linux Libertine G"/>
        <family val="2"/>
      </rPr>
      <t xml:space="preserve">或窄适配</t>
    </r>
  </si>
  <si>
    <r>
      <rPr>
        <sz val="9"/>
        <color rgb="FF24323D"/>
        <rFont val="Linux Libertine G"/>
        <family val="2"/>
      </rPr>
      <t xml:space="preserve">攻击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防御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维护等静态字段</t>
    </r>
  </si>
  <si>
    <t xml:space="preserve">ConstructionController/Battle snapshots</t>
  </si>
  <si>
    <r>
      <rPr>
        <sz val="9"/>
        <color rgb="FF24323D"/>
        <rFont val="Linux Libertine G"/>
        <family val="2"/>
      </rPr>
      <t xml:space="preserve">避免与新 </t>
    </r>
    <r>
      <rPr>
        <sz val="9"/>
        <color rgb="FF24323D"/>
        <rFont val="Hiragino Sans GB"/>
        <family val="0"/>
        <charset val="1"/>
      </rPr>
      <t xml:space="preserve">UnitDefinition </t>
    </r>
    <r>
      <rPr>
        <sz val="9"/>
        <color rgb="FF24323D"/>
        <rFont val="Linux Libertine G"/>
        <family val="2"/>
      </rPr>
      <t xml:space="preserve">重复</t>
    </r>
  </si>
  <si>
    <r>
      <rPr>
        <sz val="9"/>
        <color rgb="FF24323D"/>
        <rFont val="Linux Libertine G"/>
        <family val="2"/>
      </rPr>
      <t xml:space="preserve">当前只有 </t>
    </r>
    <r>
      <rPr>
        <sz val="9"/>
        <color rgb="FF24323D"/>
        <rFont val="Hiragino Sans GB"/>
        <family val="0"/>
        <charset val="1"/>
      </rPr>
      <t xml:space="preserve">infantry</t>
    </r>
  </si>
  <si>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（概念）</t>
    </r>
  </si>
  <si>
    <t xml:space="preserve">无</t>
  </si>
  <si>
    <t xml:space="preserve">未定义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</si>
  <si>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单兵种静态合同；必须先查重 </t>
    </r>
    <r>
      <rPr>
        <sz val="9"/>
        <color rgb="FF24323D"/>
        <rFont val="Hiragino Sans GB"/>
        <family val="0"/>
        <charset val="1"/>
      </rPr>
      <t xml:space="preserve">UnitRole</t>
    </r>
  </si>
  <si>
    <r>
      <rPr>
        <sz val="9"/>
        <color rgb="FF24323D"/>
        <rFont val="Linux Libertine G"/>
        <family val="2"/>
      </rPr>
      <t xml:space="preserve">静态兵种身份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规则</t>
    </r>
  </si>
  <si>
    <t xml:space="preserve">训练、驻军、战斗只读</t>
  </si>
  <si>
    <t xml:space="preserve">阶段开始设计</t>
  </si>
  <si>
    <t xml:space="preserve">不要因规划名称直接建类</t>
  </si>
  <si>
    <t xml:space="preserve">尚未实现</t>
  </si>
  <si>
    <t xml:space="preserve">V4 garrisons</t>
  </si>
  <si>
    <t xml:space="preserve">blackstone_expedition_mvp.gd::_garrisons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</si>
  <si>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场景局部原型</t>
    </r>
  </si>
  <si>
    <t xml:space="preserve">单次挑战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</si>
  <si>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改为权威驻军投影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适配</t>
    </r>
  </si>
  <si>
    <t xml:space="preserve">节点驻军数量</t>
  </si>
  <si>
    <r>
      <rPr>
        <sz val="9"/>
        <color rgb="FF24323D"/>
        <rFont val="Hiragino Sans GB"/>
        <family val="0"/>
        <charset val="1"/>
      </rPr>
      <t xml:space="preserve">V4 UI </t>
    </r>
    <r>
      <rPr>
        <sz val="9"/>
        <color rgb="FF24323D"/>
        <rFont val="Linux Libertine G"/>
        <family val="2"/>
      </rPr>
      <t xml:space="preserve">内部</t>
    </r>
  </si>
  <si>
    <r>
      <rPr>
        <sz val="9"/>
        <color rgb="FF24323D"/>
        <rFont val="Linux Libertine G"/>
        <family val="2"/>
      </rPr>
      <t xml:space="preserve">需要迁移到 </t>
    </r>
    <r>
      <rPr>
        <sz val="9"/>
        <color rgb="FF24323D"/>
        <rFont val="Hiragino Sans GB"/>
        <family val="0"/>
        <charset val="1"/>
      </rPr>
      <t xml:space="preserve">V5 GarrisonState</t>
    </r>
  </si>
  <si>
    <t xml:space="preserve">不能成为持久城市真相</t>
  </si>
  <si>
    <t xml:space="preserve">未提交原型</t>
  </si>
  <si>
    <r>
      <rPr>
        <sz val="9"/>
        <color rgb="FF24323D"/>
        <rFont val="Hiragino Sans GB"/>
        <family val="0"/>
        <charset val="1"/>
      </rPr>
      <t xml:space="preserve">GarrisonState</t>
    </r>
    <r>
      <rPr>
        <sz val="9"/>
        <color rgb="FF24323D"/>
        <rFont val="Linux Libertine G"/>
        <family val="2"/>
      </rPr>
      <t xml:space="preserve">（概念）</t>
    </r>
  </si>
  <si>
    <t xml:space="preserve">无独立类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</si>
  <si>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本城驻军、预留、在途聚合合同</t>
    </r>
  </si>
  <si>
    <r>
      <rPr>
        <sz val="9"/>
        <color rgb="FF24323D"/>
        <rFont val="Linux Libertine G"/>
        <family val="2"/>
      </rPr>
      <t xml:space="preserve">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据点驻军源状态</t>
    </r>
  </si>
  <si>
    <r>
      <rPr>
        <sz val="9"/>
        <color rgb="FF24323D"/>
        <rFont val="Linux Libertine G"/>
        <family val="2"/>
      </rPr>
      <t xml:space="preserve">训练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派遣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结果命令</t>
    </r>
  </si>
  <si>
    <t xml:space="preserve">V5 schema migration</t>
  </si>
  <si>
    <r>
      <rPr>
        <sz val="9"/>
        <color rgb="FF24323D"/>
        <rFont val="Linux Libertine G"/>
        <family val="2"/>
      </rPr>
      <t xml:space="preserve">需和 </t>
    </r>
    <r>
      <rPr>
        <sz val="9"/>
        <color rgb="FF24323D"/>
        <rFont val="Hiragino Sans GB"/>
        <family val="0"/>
        <charset val="1"/>
      </rPr>
      <t xml:space="preserve">infantry_count </t>
    </r>
    <r>
      <rPr>
        <sz val="9"/>
        <color rgb="FF24323D"/>
        <rFont val="Linux Libertine G"/>
        <family val="2"/>
      </rPr>
      <t xml:space="preserve">兼容</t>
    </r>
  </si>
  <si>
    <t xml:space="preserve">V4 marching armies</t>
  </si>
  <si>
    <t xml:space="preserve">blackstone_expedition_mvp.gd::_marching_armies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</si>
  <si>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场景脚本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</si>
  <si>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最小 </t>
    </r>
    <r>
      <rPr>
        <sz val="9"/>
        <color rgb="FF24323D"/>
        <rFont val="Hiragino Sans GB"/>
        <family val="0"/>
        <charset val="1"/>
      </rPr>
      <t xml:space="preserve">ArmyState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持久集合</t>
    </r>
  </si>
  <si>
    <t xml:space="preserve">在途命令临时字典</t>
  </si>
  <si>
    <t xml:space="preserve">V4 UI</t>
  </si>
  <si>
    <r>
      <rPr>
        <sz val="9"/>
        <color rgb="FF24323D"/>
        <rFont val="Hiragino Sans GB"/>
        <family val="0"/>
        <charset val="1"/>
      </rPr>
      <t xml:space="preserve">V5/V6 </t>
    </r>
    <r>
      <rPr>
        <sz val="9"/>
        <color rgb="FF24323D"/>
        <rFont val="Linux Libertine G"/>
        <family val="2"/>
      </rPr>
      <t xml:space="preserve">分阶段迁移</t>
    </r>
  </si>
  <si>
    <t xml:space="preserve">数组存在但逻辑只处理首项</t>
  </si>
  <si>
    <r>
      <rPr>
        <sz val="9"/>
        <color rgb="FF24323D"/>
        <rFont val="Hiragino Sans GB"/>
        <family val="0"/>
        <charset val="1"/>
      </rPr>
      <t xml:space="preserve">ArmyState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</si>
  <si>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建立持久集合容器且最多一支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只启用多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并扩展战区恢复</t>
    </r>
  </si>
  <si>
    <r>
      <rPr>
        <sz val="9"/>
        <color rgb="FF24323D"/>
        <rFont val="Hiragino Sans GB"/>
        <family val="0"/>
        <charset val="1"/>
      </rPr>
      <t xml:space="preserve">stable ID</t>
    </r>
    <r>
      <rPr>
        <sz val="9"/>
        <color rgb="FF24323D"/>
        <rFont val="Linux Libertine G"/>
        <family val="2"/>
      </rPr>
      <t xml:space="preserve">、兵种数量、稳定来源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目标</t>
    </r>
    <r>
      <rPr>
        <sz val="9"/>
        <color rgb="FF24323D"/>
        <rFont val="Hiragino Sans GB"/>
        <family val="0"/>
        <charset val="1"/>
      </rPr>
      <t xml:space="preserve">/route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</t>
    </r>
    <r>
      <rPr>
        <sz val="9"/>
        <color rgb="FF24323D"/>
        <rFont val="Linux Libertine G"/>
        <family val="2"/>
      </rPr>
      <t xml:space="preserve">、阶段</t>
    </r>
  </si>
  <si>
    <t xml:space="preserve">战略命令、表现只读</t>
  </si>
  <si>
    <r>
      <rPr>
        <sz val="9"/>
        <color rgb="FF24323D"/>
        <rFont val="Hiragino Sans GB"/>
        <family val="0"/>
        <charset val="1"/>
      </rPr>
      <t xml:space="preserve">V5 schema </t>
    </r>
    <r>
      <rPr>
        <sz val="9"/>
        <color rgb="FF24323D"/>
        <rFont val="Linux Libertine G"/>
        <family val="2"/>
      </rPr>
      <t xml:space="preserve">起即为集合；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无容器替换迁移</t>
    </r>
  </si>
  <si>
    <r>
      <rPr>
        <sz val="9"/>
        <color rgb="FF24323D"/>
        <rFont val="Linux Libertine G"/>
        <family val="2"/>
      </rPr>
      <t xml:space="preserve">不得绑定 </t>
    </r>
    <r>
      <rPr>
        <sz val="9"/>
        <color rgb="FF24323D"/>
        <rFont val="Hiragino Sans GB"/>
        <family val="0"/>
        <charset val="1"/>
      </rPr>
      <t xml:space="preserve">Node/</t>
    </r>
    <r>
      <rPr>
        <sz val="9"/>
        <color rgb="FF24323D"/>
        <rFont val="Linux Libertine G"/>
        <family val="2"/>
      </rPr>
      <t xml:space="preserve">像素或固化 </t>
    </r>
    <r>
      <rPr>
        <sz val="9"/>
        <color rgb="FF24323D"/>
        <rFont val="Hiragino Sans GB"/>
        <family val="0"/>
        <charset val="1"/>
      </rPr>
      <t xml:space="preserve">singleton</t>
    </r>
  </si>
  <si>
    <r>
      <rPr>
        <sz val="9"/>
        <color rgb="FF24323D"/>
        <rFont val="Hiragino Sans GB"/>
        <family val="0"/>
        <charset val="1"/>
      </rPr>
      <t xml:space="preserve">TrainingQueue</t>
    </r>
    <r>
      <rPr>
        <sz val="9"/>
        <color rgb="FF24323D"/>
        <rFont val="Linux Libertine G"/>
        <family val="2"/>
      </rPr>
      <t xml:space="preserve">（现状）</t>
    </r>
  </si>
  <si>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三个字段</t>
    </r>
  </si>
  <si>
    <t xml:space="preserve">城市运行期</t>
  </si>
  <si>
    <r>
      <rPr>
        <sz val="9"/>
        <color rgb="FF24323D"/>
        <rFont val="Hiragino Sans GB"/>
        <family val="0"/>
        <charset val="1"/>
      </rPr>
      <t xml:space="preserve">S1A.1 </t>
    </r>
    <r>
      <rPr>
        <sz val="9"/>
        <color rgb="FF24323D"/>
        <rFont val="Linux Libertine G"/>
        <family val="2"/>
      </rPr>
      <t xml:space="preserve">已保存字段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</si>
  <si>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升级为最小队列合同</t>
    </r>
  </si>
  <si>
    <t xml:space="preserve">count/complete_day/last_order_day</t>
  </si>
  <si>
    <t xml:space="preserve">军营命令、日结算</t>
  </si>
  <si>
    <t xml:space="preserve">V5 migration</t>
  </si>
  <si>
    <t xml:space="preserve">当前不是独立对象</t>
  </si>
  <si>
    <t xml:space="preserve">部分实现</t>
  </si>
  <si>
    <r>
      <rPr>
        <sz val="9"/>
        <color rgb="FF24323D"/>
        <rFont val="Hiragino Sans GB"/>
        <family val="0"/>
        <charset val="1"/>
      </rPr>
      <t xml:space="preserve">BattleRequest→</t>
    </r>
    <r>
      <rPr>
        <sz val="9"/>
        <color rgb="FF24323D"/>
        <rFont val="Linux Libertine G"/>
        <family val="2"/>
      </rPr>
      <t xml:space="preserve">结果后销毁</t>
    </r>
  </si>
  <si>
    <t xml:space="preserve">不持久化</t>
  </si>
  <si>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遭遇、</t>
    </r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攻城可配置复用</t>
    </r>
  </si>
  <si>
    <r>
      <rPr>
        <sz val="9"/>
        <color rgb="FF24323D"/>
        <rFont val="Hiragino Sans GB"/>
        <family val="0"/>
        <charset val="1"/>
      </rPr>
      <t xml:space="preserve">tick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squads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routes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orders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result</t>
    </r>
  </si>
  <si>
    <t xml:space="preserve">C0 coordinator/presentation</t>
  </si>
  <si>
    <r>
      <rPr>
        <sz val="9"/>
        <color rgb="FF24323D"/>
        <rFont val="Linux Libertine G"/>
        <family val="2"/>
      </rPr>
      <t xml:space="preserve">未来保存只持久结果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请求，不持久帧表现</t>
    </r>
  </si>
  <si>
    <r>
      <rPr>
        <sz val="9"/>
        <color rgb="FF24323D"/>
        <rFont val="Linux Libertine G"/>
        <family val="2"/>
      </rPr>
      <t xml:space="preserve">不得直接写城市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战略状态</t>
    </r>
  </si>
  <si>
    <r>
      <rPr>
        <sz val="9"/>
        <color rgb="FF24323D"/>
        <rFont val="Hiragino Sans GB"/>
        <family val="0"/>
        <charset val="1"/>
      </rPr>
      <t xml:space="preserve">SiegeSession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</si>
  <si>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判断是否 </t>
    </r>
    <r>
      <rPr>
        <sz val="9"/>
        <color rgb="FF24323D"/>
        <rFont val="Hiragino Sans GB"/>
        <family val="0"/>
        <charset val="1"/>
      </rPr>
      <t xml:space="preserve">BattleSession specialization</t>
    </r>
    <r>
      <rPr>
        <sz val="9"/>
        <color rgb="FF24323D"/>
        <rFont val="Linux Libertine G"/>
        <family val="2"/>
      </rPr>
      <t xml:space="preserve">；不创建同义真相</t>
    </r>
  </si>
  <si>
    <t xml:space="preserve">围城实例事实</t>
  </si>
  <si>
    <r>
      <rPr>
        <sz val="9"/>
        <color rgb="FF24323D"/>
        <rFont val="Linux Libertine G"/>
        <family val="2"/>
      </rPr>
      <t xml:space="preserve">战略触发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战斗适配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</si>
  <si>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开工再设计</t>
    </r>
  </si>
  <si>
    <t xml:space="preserve">当前不存在</t>
  </si>
  <si>
    <t xml:space="preserve">WorldMapPresentationModel</t>
  </si>
  <si>
    <t xml:space="preserve">scripts/world_map/world_map_presentation_model.gd</t>
  </si>
  <si>
    <r>
      <rPr>
        <sz val="9"/>
        <color rgb="FF24323D"/>
        <rFont val="Linux Libertine G"/>
        <family val="2"/>
      </rPr>
      <t xml:space="preserve">只读表现 </t>
    </r>
    <r>
      <rPr>
        <sz val="9"/>
        <color rgb="FF24323D"/>
        <rFont val="Hiragino Sans GB"/>
        <family val="0"/>
        <charset val="1"/>
      </rPr>
      <t xml:space="preserve">fixture</t>
    </r>
  </si>
  <si>
    <t xml:space="preserve">世界地图场景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</si>
  <si>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读取持久外城状态；本身仍无写权</t>
    </r>
  </si>
  <si>
    <r>
      <rPr>
        <sz val="9"/>
        <color rgb="FF24323D"/>
        <rFont val="Linux Libertine G"/>
        <family val="2"/>
      </rPr>
      <t xml:space="preserve">固定地理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城市摘要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计划路线</t>
    </r>
  </si>
  <si>
    <t xml:space="preserve">WorldMapController</t>
  </si>
  <si>
    <t xml:space="preserve">由未来战略状态驱动</t>
  </si>
  <si>
    <r>
      <rPr>
        <sz val="9"/>
        <color rgb="FF24323D"/>
        <rFont val="Linux Libertine G"/>
        <family val="2"/>
      </rPr>
      <t xml:space="preserve">不是 </t>
    </r>
    <r>
      <rPr>
        <sz val="9"/>
        <color rgb="FF24323D"/>
        <rFont val="Hiragino Sans GB"/>
        <family val="0"/>
        <charset val="1"/>
      </rPr>
      <t xml:space="preserve">WorldState</t>
    </r>
  </si>
  <si>
    <r>
      <rPr>
        <sz val="9"/>
        <color rgb="FF24323D"/>
        <rFont val="Linux Libertine G"/>
        <family val="2"/>
      </rPr>
      <t xml:space="preserve">已实现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只读</t>
    </r>
  </si>
  <si>
    <r>
      <rPr>
        <sz val="9"/>
        <color rgb="FF24323D"/>
        <rFont val="Hiragino Sans GB"/>
        <family val="0"/>
        <charset val="1"/>
      </rPr>
      <t xml:space="preserve">WorldState / </t>
    </r>
    <r>
      <rPr>
        <sz val="9"/>
        <color rgb="FF24323D"/>
        <rFont val="Linux Libertine G"/>
        <family val="2"/>
      </rPr>
      <t xml:space="preserve">战略地图状态（概念）</t>
    </r>
  </si>
  <si>
    <t xml:space="preserve">无可写类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</si>
  <si>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最小外城持久状态；</t>
    </r>
    <r>
      <rPr>
        <sz val="9"/>
        <color rgb="FF24323D"/>
        <rFont val="Hiragino Sans GB"/>
        <family val="0"/>
        <charset val="1"/>
      </rPr>
      <t xml:space="preserve">V9/V10 </t>
    </r>
    <r>
      <rPr>
        <sz val="9"/>
        <color rgb="FF24323D"/>
        <rFont val="Linux Libertine G"/>
        <family val="2"/>
      </rPr>
      <t xml:space="preserve">扩展</t>
    </r>
  </si>
  <si>
    <r>
      <rPr>
        <sz val="9"/>
        <color rgb="FF24323D"/>
        <rFont val="Linux Libertine G"/>
        <family val="2"/>
      </rPr>
      <t xml:space="preserve">节点归属、路线、</t>
    </r>
    <r>
      <rPr>
        <sz val="9"/>
        <color rgb="FF24323D"/>
        <rFont val="Hiragino Sans GB"/>
        <family val="0"/>
        <charset val="1"/>
      </rPr>
      <t xml:space="preserve">ArmyState</t>
    </r>
    <r>
      <rPr>
        <sz val="9"/>
        <color rgb="FF24323D"/>
        <rFont val="Linux Libertine G"/>
        <family val="2"/>
      </rPr>
      <t xml:space="preserve">、行动事实</t>
    </r>
  </si>
  <si>
    <r>
      <rPr>
        <sz val="9"/>
        <color rgb="FF24323D"/>
        <rFont val="Linux Libertine G"/>
        <family val="2"/>
      </rPr>
      <t xml:space="preserve">战略命令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地图只读</t>
    </r>
  </si>
  <si>
    <r>
      <rPr>
        <sz val="9"/>
        <color rgb="FF24323D"/>
        <rFont val="Hiragino Sans GB"/>
        <family val="0"/>
        <charset val="1"/>
      </rPr>
      <t xml:space="preserve">V6 schema </t>
    </r>
    <r>
      <rPr>
        <sz val="9"/>
        <color rgb="FF24323D"/>
        <rFont val="Linux Libertine G"/>
        <family val="2"/>
      </rPr>
      <t xml:space="preserve">起步</t>
    </r>
  </si>
  <si>
    <r>
      <rPr>
        <sz val="9"/>
        <color rgb="FF24323D"/>
        <rFont val="Linux Libertine G"/>
        <family val="2"/>
      </rPr>
      <t xml:space="preserve">不得复制城市资源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布局</t>
    </r>
  </si>
  <si>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</si>
  <si>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等价适配</t>
    </r>
  </si>
  <si>
    <t xml:space="preserve">主场景进程</t>
  </si>
  <si>
    <r>
      <rPr>
        <sz val="9"/>
        <color rgb="FF24323D"/>
        <rFont val="Hiragino Sans GB"/>
        <family val="0"/>
        <charset val="1"/>
      </rPr>
      <t xml:space="preserve">S1A.1 </t>
    </r>
    <r>
      <rPr>
        <sz val="9"/>
        <color rgb="FF24323D"/>
        <rFont val="Linux Libertine G"/>
        <family val="2"/>
      </rPr>
      <t xml:space="preserve">源字段</t>
    </r>
  </si>
  <si>
    <t xml:space="preserve">长期可渐进抽离，但不为名称而重写</t>
  </si>
  <si>
    <t xml:space="preserve">城市持久源状态</t>
  </si>
  <si>
    <t xml:space="preserve">权威命令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</si>
  <si>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起逐步版本化</t>
    </r>
  </si>
  <si>
    <t xml:space="preserve">不可并存第二可写城市真相</t>
  </si>
  <si>
    <r>
      <rPr>
        <sz val="9"/>
        <color rgb="FF24323D"/>
        <rFont val="Linux Libertine G"/>
        <family val="2"/>
      </rPr>
      <t xml:space="preserve">概念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未独立实现</t>
    </r>
  </si>
  <si>
    <t xml:space="preserve">UI Interaction State</t>
  </si>
  <si>
    <r>
      <rPr>
        <sz val="9"/>
        <color rgb="FF24323D"/>
        <rFont val="Hiragino Sans GB"/>
        <family val="0"/>
        <charset val="1"/>
      </rPr>
      <t xml:space="preserve">V4 _interaction_state </t>
    </r>
    <r>
      <rPr>
        <sz val="9"/>
        <color rgb="FF24323D"/>
        <rFont val="Linux Libertine G"/>
        <family val="2"/>
      </rPr>
      <t xml:space="preserve">等</t>
    </r>
  </si>
  <si>
    <t xml:space="preserve">当前场景脚本</t>
  </si>
  <si>
    <r>
      <rPr>
        <sz val="9"/>
        <color rgb="FF24323D"/>
        <rFont val="Linux Libertine G"/>
        <family val="2"/>
      </rPr>
      <t xml:space="preserve">手势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面板生命周期</t>
    </r>
  </si>
  <si>
    <r>
      <rPr>
        <sz val="9"/>
        <color rgb="FF24323D"/>
        <rFont val="Linux Libertine G"/>
        <family val="2"/>
      </rPr>
      <t xml:space="preserve">继续局部；只引用稳定对象 </t>
    </r>
    <r>
      <rPr>
        <sz val="9"/>
        <color rgb="FF24323D"/>
        <rFont val="Hiragino Sans GB"/>
        <family val="0"/>
        <charset val="1"/>
      </rPr>
      <t xml:space="preserve">ID</t>
    </r>
  </si>
  <si>
    <r>
      <rPr>
        <sz val="9"/>
        <color rgb="FF24323D"/>
        <rFont val="Linux Libertine G"/>
        <family val="2"/>
      </rPr>
      <t xml:space="preserve">选择、拖线、</t>
    </r>
    <r>
      <rPr>
        <sz val="9"/>
        <color rgb="FF24323D"/>
        <rFont val="Hiragino Sans GB"/>
        <family val="0"/>
        <charset val="1"/>
      </rPr>
      <t xml:space="preserve">pending UI</t>
    </r>
  </si>
  <si>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输入所有者</t>
    </r>
  </si>
  <si>
    <t xml:space="preserve">无需迁移</t>
  </si>
  <si>
    <t xml:space="preserve">不得进入世界存档</t>
  </si>
  <si>
    <r>
      <rPr>
        <sz val="9"/>
        <color rgb="FF24323D"/>
        <rFont val="Linux Libertine G"/>
        <family val="2"/>
      </rPr>
      <t xml:space="preserve">已实现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临时</t>
    </r>
  </si>
  <si>
    <t xml:space="preserve">Pending Order</t>
  </si>
  <si>
    <t xml:space="preserve">V4 _pending_order</t>
  </si>
  <si>
    <r>
      <rPr>
        <sz val="9"/>
        <color rgb="FF24323D"/>
        <rFont val="Linux Libertine G"/>
        <family val="2"/>
      </rPr>
      <t xml:space="preserve">松开有效路线→确认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取消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</si>
  <si>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提交前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草案；确认后生成权威事务</t>
    </r>
  </si>
  <si>
    <t xml:space="preserve">source/target/route/amount options</t>
  </si>
  <si>
    <t xml:space="preserve">UI only</t>
  </si>
  <si>
    <t xml:space="preserve">不迁移；确认结果持久化</t>
  </si>
  <si>
    <t xml:space="preserve">不得提前扣兵</t>
  </si>
  <si>
    <t xml:space="preserve">SaveSchemaVersion</t>
  </si>
  <si>
    <r>
      <rPr>
        <sz val="9"/>
        <color rgb="FF24323D"/>
        <rFont val="Hiragino Sans GB"/>
        <family val="0"/>
        <charset val="1"/>
      </rPr>
      <t xml:space="preserve">EarlyCitySnapshotV1.SCHEMA_VERSION=1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Disk STORAGE_VERSION=1 </t>
    </r>
    <r>
      <rPr>
        <sz val="9"/>
        <color rgb="FF24323D"/>
        <rFont val="Linux Libertine G"/>
        <family val="2"/>
      </rPr>
      <t xml:space="preserve">未验收</t>
    </r>
  </si>
  <si>
    <t xml:space="preserve">snapshot validator / untracked codec</t>
  </si>
  <si>
    <t xml:space="preserve">格式生命周期</t>
  </si>
  <si>
    <r>
      <rPr>
        <sz val="9"/>
        <color rgb="FF24323D"/>
        <rFont val="Linux Libertine G"/>
        <family val="2"/>
      </rPr>
      <t xml:space="preserve">内存 </t>
    </r>
    <r>
      <rPr>
        <sz val="9"/>
        <color rgb="FF24323D"/>
        <rFont val="Hiragino Sans GB"/>
        <family val="0"/>
        <charset val="1"/>
      </rPr>
      <t xml:space="preserve">schema </t>
    </r>
    <r>
      <rPr>
        <sz val="9"/>
        <color rgb="FF24323D"/>
        <rFont val="Linux Libertine G"/>
        <family val="2"/>
      </rPr>
      <t xml:space="preserve">已确认；磁盘未冻结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</si>
  <si>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明确 </t>
    </r>
    <r>
      <rPr>
        <sz val="9"/>
        <color rgb="FF24323D"/>
        <rFont val="Hiragino Sans GB"/>
        <family val="0"/>
        <charset val="1"/>
      </rPr>
      <t xml:space="preserve">city/army/training schema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migration ledger</t>
    </r>
  </si>
  <si>
    <r>
      <rPr>
        <sz val="9"/>
        <color rgb="FF24323D"/>
        <rFont val="Linux Libertine G"/>
        <family val="2"/>
      </rPr>
      <t xml:space="preserve">版本、</t>
    </r>
    <r>
      <rPr>
        <sz val="9"/>
        <color rgb="FF24323D"/>
        <rFont val="Hiragino Sans GB"/>
        <family val="0"/>
        <charset val="1"/>
      </rPr>
      <t xml:space="preserve">kind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migration path</t>
    </r>
  </si>
  <si>
    <t xml:space="preserve">codec/store/controller</t>
  </si>
  <si>
    <t xml:space="preserve">不能把未跟踪常量当正式磁盘版本</t>
  </si>
  <si>
    <r>
      <rPr>
        <sz val="9"/>
        <color rgb="FF24323D"/>
        <rFont val="Hiragino Sans GB"/>
        <family val="0"/>
        <charset val="1"/>
      </rPr>
      <t xml:space="preserve">CampaignOutcomeResolver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</si>
  <si>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V7/V8 </t>
    </r>
    <r>
      <rPr>
        <sz val="9"/>
        <color rgb="FF24323D"/>
        <rFont val="Linux Libertine G"/>
        <family val="2"/>
      </rPr>
      <t xml:space="preserve">只通过各层权威入口协调结果</t>
    </r>
  </si>
  <si>
    <t xml:space="preserve">idempotent result application</t>
  </si>
  <si>
    <t xml:space="preserve">BattleResultApplier/strategic/city commands</t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</si>
  <si>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BattleResultApplier </t>
    </r>
    <r>
      <rPr>
        <sz val="9"/>
        <color rgb="FF24323D"/>
        <rFont val="Linux Libertine G"/>
        <family val="2"/>
      </rPr>
      <t xml:space="preserve">只覆盖现有城市战果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</si>
</sst>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 * #,##0.00_ ;_ * \-#,##0.00_ ;_ * \-??_ ;_ @_ "/>
    <numFmt numFmtId="166" formatCode="_ * #,##0.00_ ;_ * \-#,##0.00_ ;_ * \-??_ ;_ @_ "/>
    <numFmt numFmtId="167" formatCode="_ * #,##0_ ;_ * \-#,##0_ ;_ * \-_ ;_ @_ "/>
    <numFmt numFmtId="168" formatCode="_ * #,##0_ ;_ * \-#,##0_ ;_ * \-_ ;_ @_ "/>
    <numFmt numFmtId="169" formatCode="_ \￥* #,##0.00_ ;_ \￥* \-#,##0.00_ ;_ \￥* \-??_ ;_ @_ "/>
    <numFmt numFmtId="170" formatCode="_ \￥* #,##0.00_ ;_ \￥* \-#,##0.00_ ;_ \￥* \-??_ ;_ @_ "/>
    <numFmt numFmtId="171" formatCode="_ \￥* #,##0_ ;_ \￥* \-#,##0_ ;_ \￥* \-_ ;_ @_ "/>
    <numFmt numFmtId="172" formatCode="_ \￥* #,##0_ ;_ \￥* \-#,##0_ ;_ \￥* \-_ ;_ @_ "/>
    <numFmt numFmtId="173" formatCode="0%"/>
    <numFmt numFmtId="174" formatCode="0"/>
    <numFmt numFmtId="175" formatCode="yyyy\-mm\-dd"/>
  </numFmts>
  <fonts count="19">
    <font>
      <sz val="10"/>
      <name val="Linux Libertine G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Hiragino Sans GB"/>
      <family val="0"/>
      <charset val="1"/>
    </font>
    <font>
      <sz val="10"/>
      <name val="Linux Libertine G"/>
      <family val="0"/>
      <charset val="1"/>
    </font>
    <font>
      <sz val="11"/>
      <name val="Hiragino Sans GB"/>
      <family val="0"/>
      <charset val="1"/>
    </font>
    <font>
      <b val="true"/>
      <sz val="16"/>
      <color rgb="FFFFFFFF"/>
      <name val="Hiragino Sans GB"/>
      <family val="0"/>
      <charset val="1"/>
    </font>
    <font>
      <b val="true"/>
      <sz val="16"/>
      <color rgb="FFFFFFFF"/>
      <name val="Linux Libertine G"/>
      <family val="2"/>
    </font>
    <font>
      <i val="true"/>
      <sz val="10"/>
      <color rgb="FF34495E"/>
      <name val="Hiragino Sans GB"/>
      <family val="0"/>
      <charset val="1"/>
    </font>
    <font>
      <i val="true"/>
      <sz val="10"/>
      <color rgb="FF34495E"/>
      <name val="Linux Libertine G"/>
      <family val="2"/>
    </font>
    <font>
      <b val="true"/>
      <sz val="10"/>
      <color rgb="FFFFFFFF"/>
      <name val="Linux Libertine G"/>
      <family val="2"/>
    </font>
    <font>
      <sz val="9"/>
      <color rgb="FF24323D"/>
      <name val="Linux Libertine G"/>
      <family val="2"/>
    </font>
    <font>
      <sz val="9"/>
      <color rgb="FF24323D"/>
      <name val="Hiragino Sans GB"/>
      <family val="0"/>
      <charset val="1"/>
    </font>
    <font>
      <b val="true"/>
      <sz val="10"/>
      <color rgb="FFFFFFFF"/>
      <name val="Hiragino Sans GB"/>
      <family val="0"/>
      <charset val="1"/>
    </font>
    <font>
      <sz val="9"/>
      <color rgb="FF24323D"/>
      <name val="Linux Libertine G"/>
      <family val="0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24D"/>
        <bgColor rgb="FF24323D"/>
      </patternFill>
    </fill>
    <fill>
      <patternFill patternType="solid">
        <fgColor rgb="FFDCE7EF"/>
        <bgColor rgb="FFD9E2E8"/>
      </patternFill>
    </fill>
    <fill>
      <patternFill patternType="solid">
        <fgColor rgb="FF1F4E78"/>
        <bgColor rgb="FF34495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C8D3DC"/>
      </left>
      <right style="thin">
        <color rgb="FFC8D3DC"/>
      </right>
      <top style="thin">
        <color rgb="FFC8D3DC"/>
      </top>
      <bottom style="thin">
        <color rgb="FFC8D3DC"/>
      </bottom>
      <diagonal/>
    </border>
    <border diagonalUp="false" diagonalDown="false">
      <left/>
      <right/>
      <top/>
      <bottom style="thin">
        <color rgb="FFD9E2E8"/>
      </bottom>
      <diagonal/>
    </border>
    <border diagonalUp="false" diagonalDown="false">
      <left/>
      <right/>
      <top style="thin">
        <color rgb="FFD9E2E8"/>
      </top>
      <bottom style="thin">
        <color rgb="FFD9E2E8"/>
      </bottom>
      <diagonal/>
    </border>
    <border diagonalUp="false" diagonalDown="false">
      <left/>
      <right style="thin">
        <color rgb="FF88A0B2"/>
      </right>
      <top/>
      <bottom/>
      <diagonal/>
    </border>
    <border diagonalUp="false" diagonalDown="false">
      <left style="thin">
        <color rgb="FF88A0B2"/>
      </left>
      <right/>
      <top/>
      <bottom/>
      <diagonal/>
    </border>
    <border diagonalUp="false" diagonalDown="false">
      <left style="thin">
        <color rgb="FF88A0B2"/>
      </left>
      <right style="thin">
        <color rgb="FF88A0B2"/>
      </right>
      <top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5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5" fillId="0" borderId="0" applyFont="true" applyBorder="false" applyAlignment="false" applyProtection="false"/>
    <xf numFmtId="169" fontId="4" fillId="0" borderId="0" applyFont="true" applyBorder="false" applyAlignment="false" applyProtection="false"/>
    <xf numFmtId="170" fontId="5" fillId="0" borderId="0" applyFont="true" applyBorder="false" applyAlignment="false" applyProtection="false"/>
    <xf numFmtId="171" fontId="4" fillId="0" borderId="0" applyFont="true" applyBorder="false" applyAlignment="false" applyProtection="false"/>
    <xf numFmtId="172" fontId="5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3" fontId="5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2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0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2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3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3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4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5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6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6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2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4" fillId="0" borderId="3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2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3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4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5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4" fillId="0" borderId="2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0" borderId="3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4" fillId="0" borderId="2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4" fillId="0" borderId="3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29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1" xfId="29"/>
    <cellStyle name="Normal 5" xfId="30"/>
    <cellStyle name="Percent" xfId="31"/>
    <cellStyle name="Percent 6" xfId="32"/>
  </cellStyles>
  <dxfs count="88"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4323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0F5132"/>
          <bgColor rgb="FF000000"/>
        </patternFill>
      </fill>
    </dxf>
    <dxf>
      <fill>
        <patternFill patternType="solid">
          <fgColor rgb="FF842029"/>
          <bgColor rgb="FF000000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color rgb="FF0F5132"/>
      </font>
      <fill>
        <patternFill>
          <bgColor rgb="FFD1E7DD"/>
        </patternFill>
      </fill>
    </dxf>
    <dxf>
      <font>
        <color rgb="FF664D03"/>
      </font>
      <fill>
        <patternFill>
          <bgColor rgb="FFFFF3CD"/>
        </patternFill>
      </fill>
    </dxf>
    <dxf>
      <fill>
        <patternFill patternType="solid">
          <fgColor rgb="FFCFE2FF"/>
          <bgColor rgb="FF000000"/>
        </patternFill>
      </fill>
    </dxf>
    <dxf>
      <fill>
        <patternFill patternType="solid">
          <fgColor rgb="FF084298"/>
          <bgColor rgb="FF000000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ill>
        <patternFill patternType="solid">
          <fgColor rgb="FFE2D9F3"/>
          <bgColor rgb="FF000000"/>
        </patternFill>
      </fill>
    </dxf>
    <dxf>
      <fill>
        <patternFill patternType="solid">
          <fgColor rgb="FF432874"/>
          <bgColor rgb="FF000000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color rgb="FF842029"/>
      </font>
      <fill>
        <patternFill>
          <bgColor rgb="FFFDE2E2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color rgb="FF0F5132"/>
      </font>
      <fill>
        <patternFill>
          <bgColor rgb="FFD1E7DD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81" type="wholeTable"/>
      <tableStyleElement dxfId="82" type="firstColumnStripe"/>
      <tableStyleElement dxfId="83" type="firstRowStripe"/>
      <tableStyleElement dxfId="84" type="lastColumn"/>
      <tableStyleElement dxfId="85" type="firstColumn"/>
      <tableStyleElement dxfId="86" type="headerRow"/>
      <tableStyleElement dxfId="87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4D03"/>
      <rgbColor rgb="FF800080"/>
      <rgbColor rgb="FF156082"/>
      <rgbColor rgb="FFE2D9F3"/>
      <rgbColor rgb="FF808080"/>
      <rgbColor rgb="FF9999FF"/>
      <rgbColor rgb="FF993366"/>
      <rgbColor rgb="FFFFF3CD"/>
      <rgbColor rgb="FFDCE7EF"/>
      <rgbColor rgb="FF660066"/>
      <rgbColor rgb="FFFF8080"/>
      <rgbColor rgb="FF084298"/>
      <rgbColor rgb="FFC8D3DC"/>
      <rgbColor rgb="FF000080"/>
      <rgbColor rgb="FFFF00FF"/>
      <rgbColor rgb="FFFFFF00"/>
      <rgbColor rgb="FF00FFFF"/>
      <rgbColor rgb="FF800080"/>
      <rgbColor rgb="FF800000"/>
      <rgbColor rgb="FF1F4E78"/>
      <rgbColor rgb="FF0000FF"/>
      <rgbColor rgb="FF00CCFF"/>
      <rgbColor rgb="FFCFE2FF"/>
      <rgbColor rgb="FFD1E7DD"/>
      <rgbColor rgb="FFFDE2E2"/>
      <rgbColor rgb="FFD9E2E8"/>
      <rgbColor rgb="FFF8D7DA"/>
      <rgbColor rgb="FFE2E3E5"/>
      <rgbColor rgb="FFF5C2C7"/>
      <rgbColor rgb="FF3366FF"/>
      <rgbColor rgb="FF46B1E1"/>
      <rgbColor rgb="FF99CC00"/>
      <rgbColor rgb="FFFFCC00"/>
      <rgbColor rgb="FFFF9900"/>
      <rgbColor rgb="FFFF6600"/>
      <rgbColor rgb="FF34495E"/>
      <rgbColor rgb="FF88A0B2"/>
      <rgbColor rgb="FF17324D"/>
      <rgbColor rgb="FF339966"/>
      <rgbColor rgb="FF0F5132"/>
      <rgbColor rgb="FF41464B"/>
      <rgbColor rgb="FF842029"/>
      <rgbColor rgb="FF993366"/>
      <rgbColor rgb="FF432874"/>
      <rgbColor rgb="FF2432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cceptanceTable" displayName="AcceptanceTable" ref="A4:K29" headerRowCount="1" totalsRowCount="0" totalsRowShown="0">
  <autoFilter ref="A4:K29"/>
  <tableColumns count="11">
    <tableColumn id="1" name="Requirement ID"/>
    <tableColumn id="2" name="Requirement"/>
    <tableColumn id="3" name="Source"/>
    <tableColumn id="4" name="Priority"/>
    <tableColumn id="5" name="Related Task IDs"/>
    <tableColumn id="6" name="Related Test IDs"/>
    <tableColumn id="7" name="Automated／Manual"/>
    <tableColumn id="8" name="Evidence Required"/>
    <tableColumn id="9" name="Current Result"/>
    <tableColumn id="10" name="Reviewer Result"/>
    <tableColumn id="11" name="Final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aselineTable" displayName="BaselineTable" ref="A4:E30" headerRowCount="1" totalsRowCount="0" totalsRowShown="0">
  <autoFilter ref="A4:E30"/>
  <tableColumns count="5">
    <tableColumn id="1" name="项目"/>
    <tableColumn id="2" name="当前值"/>
    <tableColumn id="3" name="事实标记"/>
    <tableColumn id="4" name="证据"/>
    <tableColumn id="5" name="差异／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ecutionRunsTable" displayName="ExecutionRunsTable" ref="A4:N6" headerRowCount="1" totalsRowCount="0" totalsRowShown="0">
  <autoFilter ref="A4:N6"/>
  <tableColumns count="14">
    <tableColumn id="1" name="Run ID"/>
    <tableColumn id="2" name="Date"/>
    <tableColumn id="3" name="Agent／Model"/>
    <tableColumn id="4" name="Target Task IDs"/>
    <tableColumn id="5" name="Start Git State"/>
    <tableColumn id="6" name="Files Changed"/>
    <tableColumn id="7" name="Commands Run"/>
    <tableColumn id="8" name="Tests Run"/>
    <tableColumn id="9" name="Result"/>
    <tableColumn id="10" name="Known Limitations"/>
    <tableColumn id="11" name="End Git State"/>
    <tableColumn id="12" name="Patch／Commit"/>
    <tableColumn id="13" name="Next Task"/>
    <tableColumn id="14" name="User Decision Requi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GatesTable" displayName="GatesTable" ref="A4:L67" headerRowCount="1" totalsRowCount="0" totalsRowShown="0">
  <autoFilter ref="A4:L67"/>
  <tableColumns count="12">
    <tableColumn id="1" name="Phase"/>
    <tableColumn id="2" name="Gate ID"/>
    <tableColumn id="3" name="Gate Name"/>
    <tableColumn id="4" name="Required Tasks"/>
    <tableColumn id="5" name="Required Tests"/>
    <tableColumn id="6" name="Required Evidence"/>
    <tableColumn id="7" name="Blocking Conditions"/>
    <tableColumn id="8" name="Status"/>
    <tableColumn id="9" name="Passed Time"/>
    <tableColumn id="10" name="Passed By"/>
    <tableColumn id="11" name="Reviewer"/>
    <tableColumn id="12" name="Verdic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sterTasksTable" displayName="MasterTasksTable" ref="A4:AJ92" headerRowCount="1" totalsRowCount="0" totalsRowShown="0">
  <autoFilter ref="A4:AJ92"/>
  <tableColumns count="36">
    <tableColumn id="1" name="Task ID"/>
    <tableColumn id="2" name="Parent ID"/>
    <tableColumn id="3" name="Phase"/>
    <tableColumn id="4" name="Work Package"/>
    <tableColumn id="5" name="Task Name"/>
    <tableColumn id="6" name="Task Type"/>
    <tableColumn id="7" name="Goal"/>
    <tableColumn id="8" name="Background"/>
    <tableColumn id="9" name="In Scope"/>
    <tableColumn id="10" name="Out of Scope"/>
    <tableColumn id="11" name="Relevant Files／Modules"/>
    <tableColumn id="12" name="Inputs"/>
    <tableColumn id="13" name="Expected Output"/>
    <tableColumn id="14" name="Dependencies"/>
    <tableColumn id="15" name="Entry Criteria"/>
    <tableColumn id="16" name="Acceptance Criteria"/>
    <tableColumn id="17" name="Validation Method"/>
    <tableColumn id="18" name="Test IDs"/>
    <tableColumn id="19" name="Test Mapping Status"/>
    <tableColumn id="20" name="Rollback Method"/>
    <tableColumn id="21" name="Stop Conditions"/>
    <tableColumn id="22" name="Implementer"/>
    <tableColumn id="23" name="Reviewer"/>
    <tableColumn id="24" name="Priority"/>
    <tableColumn id="25" name="Risk"/>
    <tableColumn id="26" name="Status"/>
    <tableColumn id="27" name="Planned Effort"/>
    <tableColumn id="28" name="Actual Effort"/>
    <tableColumn id="29" name="Start Time"/>
    <tableColumn id="30" name="Completion Time"/>
    <tableColumn id="31" name="Evidence Link"/>
    <tableColumn id="32" name="Review Record ID"/>
    <tableColumn id="33" name="Decision Record ID"/>
    <tableColumn id="34" name="Progress Denominator Flag"/>
    <tableColumn id="35" name="Notes"/>
    <tableColumn id="36" name="Gate ID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wnershipTable" displayName="OwnershipTable" ref="A4:L23" headerRowCount="1" totalsRowCount="0" totalsRowShown="0">
  <autoFilter ref="A4:L23"/>
  <tableColumns count="12">
    <tableColumn id="1" name="对象／状态"/>
    <tableColumn id="2" name="当前实现位置"/>
    <tableColumn id="3" name="当前所有者"/>
    <tableColumn id="4" name="当前生命周期"/>
    <tableColumn id="5" name="当前持久化"/>
    <tableColumn id="6" name="未来职责"/>
    <tableColumn id="7" name="单一事实来源"/>
    <tableColumn id="8" name="允许读写者"/>
    <tableColumn id="9" name="迁移需求"/>
    <tableColumn id="10" name="未确认问题"/>
    <tableColumn id="11" name="事实标记"/>
    <tableColumn id="12" name="实现状态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lanChangelogTable" displayName="PlanChangelogTable" ref="A4:G9" headerRowCount="1" totalsRowCount="0" totalsRowShown="0">
  <autoFilter ref="A4:G9"/>
  <tableColumns count="7">
    <tableColumn id="1" name="Plan Version"/>
    <tableColumn id="2" name="Date"/>
    <tableColumn id="3" name="Author"/>
    <tableColumn id="4" name="Change Summary"/>
    <tableColumn id="5" name="Affected Areas"/>
    <tableColumn id="6" name="Reason"/>
    <tableColumn id="7" name="Review I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tectionTable" displayName="ProtectionTable" ref="A4:E13" headerRowCount="1" totalsRowCount="0" totalsRowShown="0">
  <autoFilter ref="A4:E13"/>
  <tableColumns count="5">
    <tableColumn id="1" name="Scope"/>
    <tableColumn id="2" name="Protected / Forbidden"/>
    <tableColumn id="3" name="Reason"/>
    <tableColumn id="4" name="Verification"/>
    <tableColumn id="5" name="Authorit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ReviewsTable" displayName="ReviewsTable" ref="A4:N7" headerRowCount="1" totalsRowCount="0" totalsRowShown="0">
  <autoFilter ref="A4:N7"/>
  <tableColumns count="14">
    <tableColumn id="1" name="Review ID"/>
    <tableColumn id="2" name="Reviewer Agent"/>
    <tableColumn id="3" name="Reviewed Task IDs"/>
    <tableColumn id="4" name="Reviewed Diff／Commit／Patch"/>
    <tableColumn id="5" name="Acceptance Criteria"/>
    <tableColumn id="6" name="Tests Re-run"/>
    <tableColumn id="7" name="Findings"/>
    <tableColumn id="8" name="Severity"/>
    <tableColumn id="9" name="Blocking"/>
    <tableColumn id="10" name="Reproduction"/>
    <tableColumn id="11" name="Suggested Direction"/>
    <tableColumn id="12" name="Implementer Response"/>
    <tableColumn id="13" name="Re-review Result"/>
    <tableColumn id="14" name="Final Verdic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iskDecisionTable" displayName="RiskDecisionTable" ref="A4:L18" headerRowCount="1" totalsRowCount="0" totalsRowShown="0">
  <autoFilter ref="A4:L18"/>
  <tableColumns count="12">
    <tableColumn id="1" name="Risk／Decision ID"/>
    <tableColumn id="2" name="Type"/>
    <tableColumn id="3" name="Description"/>
    <tableColumn id="4" name="Evidence"/>
    <tableColumn id="5" name="Alternatives"/>
    <tableColumn id="6" name="Decision"/>
    <tableColumn id="7" name="Consequence"/>
    <tableColumn id="8" name="Reversal Cost"/>
    <tableColumn id="9" name="Owner"/>
    <tableColumn id="10" name="Date"/>
    <tableColumn id="11" name="Related Tasks"/>
    <tableColumn id="12" name="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oadmapTable" displayName="RoadmapTable" ref="A4:P13" headerRowCount="1" totalsRowCount="0" totalsRowShown="0">
  <autoFilter ref="A4:P13"/>
  <tableColumns count="16">
    <tableColumn id="1" name="阶段 ID"/>
    <tableColumn id="2" name="阶段名称"/>
    <tableColumn id="3" name="玩家可感知结果"/>
    <tableColumn id="4" name="世界层级"/>
    <tableColumn id="5" name="入口条件"/>
    <tableColumn id="6" name="输出物"/>
    <tableColumn id="7" name="明确不做"/>
    <tableColumn id="8" name="核心数据对象"/>
    <tableColumn id="9" name="依赖阶段"/>
    <tableColumn id="10" name="自动验收门槛"/>
    <tableColumn id="11" name="实际窗口门槛"/>
    <tableColumn id="12" name="独立复查门槛"/>
    <tableColumn id="13" name="主要风险"/>
    <tableColumn id="14" name="回滚点"/>
    <tableColumn id="15" name="当前状态"/>
    <tableColumn id="16" name="阶段进度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estsTable" displayName="TestsTable" ref="A4:O73" headerRowCount="1" totalsRowCount="0" totalsRowShown="0">
  <autoFilter ref="A4:O73"/>
  <tableColumns count="15">
    <tableColumn id="1" name="Test ID"/>
    <tableColumn id="2" name="Phase"/>
    <tableColumn id="3" name="Requirement IDs"/>
    <tableColumn id="4" name="Test Level"/>
    <tableColumn id="5" name="Test Type"/>
    <tableColumn id="6" name="Preconditions"/>
    <tableColumn id="7" name="Input Path"/>
    <tableColumn id="8" name="Expected Result"/>
    <tableColumn id="9" name="Actual Command"/>
    <tableColumn id="10" name="Environment"/>
    <tableColumn id="11" name="Last Result"/>
    <tableColumn id="12" name="Evidence"/>
    <tableColumn id="13" name="Regression Risk"/>
    <tableColumn id="14" name="Last Run Time"/>
    <tableColumn id="15" name="Gate I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31.03"/>
    <col collapsed="false" customWidth="true" hidden="false" outlineLevel="0" max="2" min="2" style="0" width="109.81"/>
    <col collapsed="false" customWidth="true" hidden="false" outlineLevel="0" max="4" min="4" style="0" width="35.81"/>
    <col collapsed="false" customWidth="true" hidden="false" outlineLevel="0" max="5" min="5" style="0" width="23.87"/>
    <col collapsed="false" customWidth="true" hidden="false" outlineLevel="0" max="6" min="6" style="0" width="16.71"/>
    <col collapsed="false" customWidth="true" hidden="false" outlineLevel="0" max="8" min="7" style="0" width="32.22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4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2</v>
      </c>
      <c r="B4" s="3" t="s">
        <v>3</v>
      </c>
      <c r="D4" s="4" t="s">
        <v>4</v>
      </c>
      <c r="E4" s="4"/>
      <c r="F4" s="4"/>
      <c r="G4" s="4"/>
      <c r="H4" s="4"/>
    </row>
    <row r="5" customFormat="false" ht="15" hidden="false" customHeight="false" outlineLevel="0" collapsed="false">
      <c r="A5" s="5" t="s">
        <v>5</v>
      </c>
      <c r="B5" s="6" t="s">
        <v>6</v>
      </c>
      <c r="D5" s="7" t="s">
        <v>7</v>
      </c>
      <c r="E5" s="8" t="s">
        <v>8</v>
      </c>
      <c r="F5" s="8" t="s">
        <v>9</v>
      </c>
      <c r="G5" s="8"/>
      <c r="H5" s="8"/>
    </row>
    <row r="6" customFormat="false" ht="15" hidden="false" customHeight="false" outlineLevel="0" collapsed="false">
      <c r="A6" s="5" t="s">
        <v>10</v>
      </c>
      <c r="B6" s="6" t="s">
        <v>11</v>
      </c>
      <c r="D6" s="9" t="s">
        <v>12</v>
      </c>
      <c r="E6" s="10" t="s">
        <v>8</v>
      </c>
      <c r="F6" s="10" t="s">
        <v>9</v>
      </c>
      <c r="G6" s="10" t="s">
        <v>13</v>
      </c>
      <c r="H6" s="10"/>
    </row>
    <row r="7" customFormat="false" ht="15" hidden="false" customHeight="false" outlineLevel="0" collapsed="false">
      <c r="A7" s="5" t="s">
        <v>14</v>
      </c>
      <c r="B7" s="6" t="s">
        <v>15</v>
      </c>
      <c r="D7" s="9" t="s">
        <v>16</v>
      </c>
      <c r="E7" s="10" t="s">
        <v>8</v>
      </c>
      <c r="F7" s="10" t="s">
        <v>9</v>
      </c>
      <c r="G7" s="10"/>
      <c r="H7" s="10"/>
    </row>
    <row r="8" customFormat="false" ht="15" hidden="false" customHeight="false" outlineLevel="0" collapsed="false">
      <c r="A8" s="5" t="s">
        <v>17</v>
      </c>
      <c r="B8" s="6" t="s">
        <v>18</v>
      </c>
      <c r="D8" s="9" t="s">
        <v>19</v>
      </c>
      <c r="E8" s="10" t="s">
        <v>8</v>
      </c>
      <c r="F8" s="10" t="s">
        <v>20</v>
      </c>
      <c r="G8" s="10"/>
      <c r="H8" s="10"/>
    </row>
    <row r="9" customFormat="false" ht="15" hidden="false" customHeight="false" outlineLevel="0" collapsed="false">
      <c r="A9" s="5" t="s">
        <v>21</v>
      </c>
      <c r="B9" s="6" t="s">
        <v>22</v>
      </c>
      <c r="D9" s="9" t="s">
        <v>23</v>
      </c>
      <c r="E9" s="10" t="s">
        <v>8</v>
      </c>
      <c r="F9" s="10" t="s">
        <v>9</v>
      </c>
      <c r="G9" s="10"/>
      <c r="H9" s="10" t="s">
        <v>24</v>
      </c>
    </row>
    <row r="10" customFormat="false" ht="15" hidden="false" customHeight="false" outlineLevel="0" collapsed="false">
      <c r="A10" s="5" t="s">
        <v>25</v>
      </c>
      <c r="B10" s="6" t="s">
        <v>26</v>
      </c>
      <c r="D10" s="9" t="s">
        <v>27</v>
      </c>
      <c r="E10" s="10" t="s">
        <v>8</v>
      </c>
      <c r="F10" s="10" t="s">
        <v>20</v>
      </c>
      <c r="G10" s="10"/>
      <c r="H10" s="10"/>
    </row>
    <row r="11" customFormat="false" ht="15" hidden="false" customHeight="false" outlineLevel="0" collapsed="false">
      <c r="A11" s="5" t="s">
        <v>28</v>
      </c>
      <c r="B11" s="5" t="s">
        <v>29</v>
      </c>
      <c r="D11" s="9" t="s">
        <v>30</v>
      </c>
      <c r="E11" s="10" t="s">
        <v>31</v>
      </c>
      <c r="F11" s="10" t="s">
        <v>9</v>
      </c>
      <c r="G11" s="10"/>
      <c r="H11" s="10"/>
    </row>
    <row r="12" customFormat="false" ht="15" hidden="false" customHeight="false" outlineLevel="0" collapsed="false">
      <c r="A12" s="5" t="s">
        <v>32</v>
      </c>
      <c r="B12" s="6" t="s">
        <v>33</v>
      </c>
      <c r="D12" s="9" t="s">
        <v>34</v>
      </c>
      <c r="E12" s="10" t="s">
        <v>8</v>
      </c>
      <c r="F12" s="10" t="s">
        <v>9</v>
      </c>
      <c r="G12" s="10"/>
      <c r="H12" s="10"/>
    </row>
    <row r="13" customFormat="false" ht="15" hidden="false" customHeight="false" outlineLevel="0" collapsed="false">
      <c r="A13" s="5" t="s">
        <v>35</v>
      </c>
      <c r="B13" s="6" t="s">
        <v>36</v>
      </c>
      <c r="D13" s="9" t="s">
        <v>37</v>
      </c>
      <c r="E13" s="10" t="s">
        <v>38</v>
      </c>
      <c r="F13" s="10" t="s">
        <v>9</v>
      </c>
      <c r="G13" s="10"/>
      <c r="H13" s="10"/>
    </row>
    <row r="14" customFormat="false" ht="15" hidden="false" customHeight="false" outlineLevel="0" collapsed="false">
      <c r="A14" s="5" t="s">
        <v>39</v>
      </c>
      <c r="B14" s="6" t="s">
        <v>40</v>
      </c>
      <c r="D14" s="9" t="s">
        <v>41</v>
      </c>
      <c r="E14" s="10" t="s">
        <v>8</v>
      </c>
      <c r="F14" s="10" t="s">
        <v>9</v>
      </c>
      <c r="G14" s="10"/>
      <c r="H14" s="10"/>
    </row>
    <row r="15" customFormat="false" ht="15" hidden="false" customHeight="false" outlineLevel="0" collapsed="false">
      <c r="A15" s="5" t="s">
        <v>42</v>
      </c>
      <c r="B15" s="5" t="s">
        <v>43</v>
      </c>
    </row>
    <row r="17" customFormat="false" ht="15" hidden="false" customHeight="true" outlineLevel="0" collapsed="false">
      <c r="A17" s="4" t="s">
        <v>44</v>
      </c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11" t="s">
        <v>45</v>
      </c>
      <c r="B18" s="12" t="s">
        <v>46</v>
      </c>
      <c r="D18" s="11" t="s">
        <v>47</v>
      </c>
      <c r="E18" s="13" t="s">
        <v>48</v>
      </c>
      <c r="F18" s="14" t="s">
        <v>30</v>
      </c>
      <c r="G18" s="14" t="s">
        <v>37</v>
      </c>
      <c r="H18" s="12" t="s">
        <v>49</v>
      </c>
    </row>
    <row r="19" customFormat="false" ht="15" hidden="false" customHeight="false" outlineLevel="0" collapsed="false">
      <c r="A19" s="7" t="s">
        <v>50</v>
      </c>
      <c r="B19" s="8" t="n">
        <f aca="false">COUNTIF('03_任务总表'!$Z$5:$Z$200,"READY")</f>
        <v>0</v>
      </c>
      <c r="D19" s="7" t="s">
        <v>51</v>
      </c>
      <c r="E19" s="8" t="n">
        <f aca="false">COUNTIF('03_任务总表'!$C$5:$C$200,D19)</f>
        <v>4</v>
      </c>
      <c r="F19" s="8" t="n">
        <f aca="false">COUNTIFS('03_任务总表'!$C$5:$C$200,D19,'03_任务总表'!$Z$5:$Z$200,"VERIFIED")</f>
        <v>4</v>
      </c>
      <c r="G19" s="8" t="n">
        <f aca="false">COUNTIFS('03_任务总表'!$C$5:$C$200,D19,'03_任务总表'!$Z$5:$Z$200,"CANCELLED")</f>
        <v>0</v>
      </c>
      <c r="H19" s="15" t="n">
        <f aca="false">IFERROR(F19/SUMIFS('03_任务总表'!$AH$5:$AH$200,'03_任务总表'!$C$5:$C$200,D19),0)</f>
        <v>1</v>
      </c>
    </row>
    <row r="20" customFormat="false" ht="15" hidden="false" customHeight="false" outlineLevel="0" collapsed="false">
      <c r="A20" s="10" t="s">
        <v>52</v>
      </c>
      <c r="B20" s="10" t="n">
        <f aca="false">COUNTIF('03_任务总表'!$Z$5:$Z$200,"BLOCKED")+COUNTIF('03_任务总表'!$Z$5:$Z$200,"REVIEW_FAILED")</f>
        <v>0</v>
      </c>
      <c r="D20" s="9" t="s">
        <v>53</v>
      </c>
      <c r="E20" s="10" t="n">
        <f aca="false">COUNTIF('03_任务总表'!$C$5:$C$200,D20)</f>
        <v>44</v>
      </c>
      <c r="F20" s="10" t="n">
        <f aca="false">COUNTIFS('03_任务总表'!$C$5:$C$200,D20,'03_任务总表'!$Z$5:$Z$200,"VERIFIED")</f>
        <v>0</v>
      </c>
      <c r="G20" s="10" t="n">
        <f aca="false">COUNTIFS('03_任务总表'!$C$5:$C$200,D20,'03_任务总表'!$Z$5:$Z$200,"CANCELLED")</f>
        <v>0</v>
      </c>
      <c r="H20" s="16" t="n">
        <f aca="false">IFERROR(F20/SUMIFS('03_任务总表'!$AH$5:$AH$200,'03_任务总表'!$C$5:$C$200,D20),0)</f>
        <v>0</v>
      </c>
    </row>
    <row r="21" customFormat="false" ht="15" hidden="false" customHeight="false" outlineLevel="0" collapsed="false">
      <c r="A21" s="10" t="s">
        <v>54</v>
      </c>
      <c r="B21" s="10" t="n">
        <f aca="false">COUNTIF('03_任务总表'!$Z$5:$Z$200,"IMPLEMENTED_PENDING_REVIEW")</f>
        <v>11</v>
      </c>
      <c r="D21" s="9" t="s">
        <v>55</v>
      </c>
      <c r="E21" s="10" t="n">
        <f aca="false">COUNTIF('03_任务总表'!$C$5:$C$200,D21)</f>
        <v>15</v>
      </c>
      <c r="F21" s="10" t="n">
        <f aca="false">COUNTIFS('03_任务总表'!$C$5:$C$200,D21,'03_任务总表'!$Z$5:$Z$200,"VERIFIED")</f>
        <v>0</v>
      </c>
      <c r="G21" s="10" t="n">
        <f aca="false">COUNTIFS('03_任务总表'!$C$5:$C$200,D21,'03_任务总表'!$Z$5:$Z$200,"CANCELLED")</f>
        <v>0</v>
      </c>
      <c r="H21" s="16" t="n">
        <f aca="false">IFERROR(F21/SUMIFS('03_任务总表'!$AH$5:$AH$200,'03_任务总表'!$C$5:$C$200,D21),0)</f>
        <v>0</v>
      </c>
    </row>
    <row r="22" customFormat="false" ht="15" hidden="false" customHeight="false" outlineLevel="0" collapsed="false">
      <c r="A22" s="10" t="s">
        <v>56</v>
      </c>
      <c r="B22" s="10" t="n">
        <f aca="false">COUNTIFS('05_验收矩阵'!$D$5:$D$100,"P0",'05_验收矩阵'!$F$5:$F$100,"")</f>
        <v>0</v>
      </c>
      <c r="D22" s="9" t="s">
        <v>57</v>
      </c>
      <c r="E22" s="10" t="n">
        <f aca="false">COUNTIF('03_任务总表'!$C$5:$C$200,D22)</f>
        <v>4</v>
      </c>
      <c r="F22" s="10" t="n">
        <f aca="false">COUNTIFS('03_任务总表'!$C$5:$C$200,D22,'03_任务总表'!$Z$5:$Z$200,"VERIFIED")</f>
        <v>0</v>
      </c>
      <c r="G22" s="10" t="n">
        <f aca="false">COUNTIFS('03_任务总表'!$C$5:$C$200,D22,'03_任务总表'!$Z$5:$Z$200,"CANCELLED")</f>
        <v>0</v>
      </c>
      <c r="H22" s="16" t="n">
        <f aca="false">IFERROR(F22/SUMIFS('03_任务总表'!$AH$5:$AH$200,'03_任务总表'!$C$5:$C$200,D22),0)</f>
        <v>0</v>
      </c>
    </row>
    <row r="23" customFormat="false" ht="15" hidden="false" customHeight="false" outlineLevel="0" collapsed="false">
      <c r="D23" s="9" t="s">
        <v>58</v>
      </c>
      <c r="E23" s="10" t="n">
        <f aca="false">COUNTIF('03_任务总表'!$C$5:$C$200,D23)</f>
        <v>4</v>
      </c>
      <c r="F23" s="10" t="n">
        <f aca="false">COUNTIFS('03_任务总表'!$C$5:$C$200,D23,'03_任务总表'!$Z$5:$Z$200,"VERIFIED")</f>
        <v>0</v>
      </c>
      <c r="G23" s="10" t="n">
        <f aca="false">COUNTIFS('03_任务总表'!$C$5:$C$200,D23,'03_任务总表'!$Z$5:$Z$200,"CANCELLED")</f>
        <v>0</v>
      </c>
      <c r="H23" s="16" t="n">
        <f aca="false">IFERROR(F23/SUMIFS('03_任务总表'!$AH$5:$AH$200,'03_任务总表'!$C$5:$C$200,D23),0)</f>
        <v>0</v>
      </c>
    </row>
    <row r="24" customFormat="false" ht="15" hidden="false" customHeight="false" outlineLevel="0" collapsed="false">
      <c r="D24" s="9" t="s">
        <v>59</v>
      </c>
      <c r="E24" s="10" t="n">
        <f aca="false">COUNTIF('03_任务总表'!$C$5:$C$200,D24)</f>
        <v>4</v>
      </c>
      <c r="F24" s="10" t="n">
        <f aca="false">COUNTIFS('03_任务总表'!$C$5:$C$200,D24,'03_任务总表'!$Z$5:$Z$200,"VERIFIED")</f>
        <v>0</v>
      </c>
      <c r="G24" s="10" t="n">
        <f aca="false">COUNTIFS('03_任务总表'!$C$5:$C$200,D24,'03_任务总表'!$Z$5:$Z$200,"CANCELLED")</f>
        <v>0</v>
      </c>
      <c r="H24" s="16" t="n">
        <f aca="false">IFERROR(F24/SUMIFS('03_任务总表'!$AH$5:$AH$200,'03_任务总表'!$C$5:$C$200,D24),0)</f>
        <v>0</v>
      </c>
    </row>
    <row r="25" customFormat="false" ht="15" hidden="false" customHeight="false" outlineLevel="0" collapsed="false">
      <c r="D25" s="9" t="s">
        <v>60</v>
      </c>
      <c r="E25" s="10" t="n">
        <f aca="false">COUNTIF('03_任务总表'!$C$5:$C$200,D25)</f>
        <v>4</v>
      </c>
      <c r="F25" s="10" t="n">
        <f aca="false">COUNTIFS('03_任务总表'!$C$5:$C$200,D25,'03_任务总表'!$Z$5:$Z$200,"VERIFIED")</f>
        <v>0</v>
      </c>
      <c r="G25" s="10" t="n">
        <f aca="false">COUNTIFS('03_任务总表'!$C$5:$C$200,D25,'03_任务总表'!$Z$5:$Z$200,"CANCELLED")</f>
        <v>0</v>
      </c>
      <c r="H25" s="16" t="n">
        <f aca="false">IFERROR(F25/SUMIFS('03_任务总表'!$AH$5:$AH$200,'03_任务总表'!$C$5:$C$200,D25),0)</f>
        <v>0</v>
      </c>
    </row>
    <row r="26" customFormat="false" ht="15" hidden="false" customHeight="false" outlineLevel="0" collapsed="false">
      <c r="D26" s="9" t="s">
        <v>61</v>
      </c>
      <c r="E26" s="10" t="n">
        <f aca="false">COUNTIF('03_任务总表'!$C$5:$C$200,D26)</f>
        <v>4</v>
      </c>
      <c r="F26" s="10" t="n">
        <f aca="false">COUNTIFS('03_任务总表'!$C$5:$C$200,D26,'03_任务总表'!$Z$5:$Z$200,"VERIFIED")</f>
        <v>0</v>
      </c>
      <c r="G26" s="10" t="n">
        <f aca="false">COUNTIFS('03_任务总表'!$C$5:$C$200,D26,'03_任务总表'!$Z$5:$Z$200,"CANCELLED")</f>
        <v>0</v>
      </c>
      <c r="H26" s="16" t="n">
        <f aca="false">IFERROR(F26/SUMIFS('03_任务总表'!$AH$5:$AH$200,'03_任务总表'!$C$5:$C$200,D26),0)</f>
        <v>0</v>
      </c>
    </row>
    <row r="27" customFormat="false" ht="15" hidden="false" customHeight="false" outlineLevel="0" collapsed="false">
      <c r="D27" s="9" t="s">
        <v>62</v>
      </c>
      <c r="E27" s="10" t="n">
        <f aca="false">COUNTIF('03_任务总表'!$C$5:$C$200,D27)</f>
        <v>4</v>
      </c>
      <c r="F27" s="10" t="n">
        <f aca="false">COUNTIFS('03_任务总表'!$C$5:$C$200,D27,'03_任务总表'!$Z$5:$Z$200,"VERIFIED")</f>
        <v>0</v>
      </c>
      <c r="G27" s="10" t="n">
        <f aca="false">COUNTIFS('03_任务总表'!$C$5:$C$200,D27,'03_任务总表'!$Z$5:$Z$200,"CANCELLED")</f>
        <v>0</v>
      </c>
      <c r="H27" s="16" t="n">
        <f aca="false">IFERROR(F27/SUMIFS('03_任务总表'!$AH$5:$AH$200,'03_任务总表'!$C$5:$C$200,D27),0)</f>
        <v>0</v>
      </c>
    </row>
  </sheetData>
  <mergeCells count="4">
    <mergeCell ref="A1:H1"/>
    <mergeCell ref="A2:H2"/>
    <mergeCell ref="D4:H4"/>
    <mergeCell ref="A17:H17"/>
  </mergeCells>
  <conditionalFormatting sqref="D5:D14">
    <cfRule type="containsText" priority="2" operator="containsText" aboveAverage="0" equalAverage="0" bottom="0" percent="0" rank="0" text="BLOCKED" dxfId="0">
      <formula>NOT(ISERROR(SEARCH("BLOCKED",D5)))</formula>
    </cfRule>
    <cfRule type="containsText" priority="3" operator="containsText" aboveAverage="0" equalAverage="0" bottom="0" percent="0" rank="0" text="REVIEW_FAILED" dxfId="1">
      <formula>NOT(ISERROR(SEARCH("REVIEW_FAILED",D5)))</formula>
    </cfRule>
    <cfRule type="containsText" priority="4" operator="containsText" aboveAverage="0" equalAverage="0" bottom="0" percent="0" rank="0" text="READY" dxfId="2">
      <formula>NOT(ISERROR(SEARCH("READY",D5)))</formula>
    </cfRule>
    <cfRule type="containsText" priority="5" operator="containsText" aboveAverage="0" equalAverage="0" bottom="0" percent="0" rank="0" text="IN_PROGRESS" dxfId="3">
      <formula>NOT(ISERROR(SEARCH("IN_PROGRESS",D5)))</formula>
    </cfRule>
    <cfRule type="containsText" priority="6" operator="containsText" aboveAverage="0" equalAverage="0" bottom="0" percent="0" rank="0" text="IMPLEMENTED_PENDING_REVIEW" dxfId="4">
      <formula>NOT(ISERROR(SEARCH("IMPLEMENTED_PENDING_REVIEW",D5)))</formula>
    </cfRule>
    <cfRule type="containsText" priority="7" operator="containsText" aboveAverage="0" equalAverage="0" bottom="0" percent="0" rank="0" text="VERIFIED" dxfId="5">
      <formula>NOT(ISERROR(SEARCH("VERIFIED",D5)))</formula>
    </cfRule>
    <cfRule type="containsText" priority="8" operator="containsText" aboveAverage="0" equalAverage="0" bottom="0" percent="0" rank="0" text="DEFERRED" dxfId="6">
      <formula>NOT(ISERROR(SEARCH("DEFERRED",D5)))</formula>
    </cfRule>
  </conditionalFormatting>
  <conditionalFormatting sqref="H19:H27">
    <cfRule type="dataBar" priority="9">
      <dataBar showValue="1" minLength="10" maxLength="90">
        <cfvo type="min" val="0"/>
        <cfvo type="max" val="0"/>
        <color rgb="FF3D7EA6"/>
      </dataBar>
      <extLst>
        <ext xmlns:x14="http://schemas.microsoft.com/office/spreadsheetml/2009/9/main" uri="{B025F937-C7B1-47D3-B67F-A62EFF666E3E}">
          <x14:id>{C5BB4F6F-5F5F-4E4A-873D-4B8C90B88E5C}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B4F6F-5F5F-4E4A-873D-4B8C90B88E5C}">
            <x14:dataBar minLength="10" maxLength="90" axisPosition="automatic" gradient="true">
              <x14:cfvo type="min"/>
              <x14:cfvo type="max"/>
              <x14:negativeFillColor rgb="FF3D7EA6"/>
              <x14:axisColor rgb="FF000000"/>
            </x14:dataBar>
          </x14:cfRule>
          <xm:sqref>H19:H27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31.03"/>
    <col collapsed="false" customWidth="true" hidden="false" outlineLevel="0" max="2" min="2" style="0" width="83.55"/>
    <col collapsed="false" customWidth="true" hidden="false" outlineLevel="0" max="3" min="3" style="0" width="21.48"/>
    <col collapsed="false" customWidth="true" hidden="false" outlineLevel="0" max="4" min="4" style="0" width="53.71"/>
    <col collapsed="false" customWidth="true" hidden="false" outlineLevel="0" max="5" min="5" style="0" width="65.65"/>
  </cols>
  <sheetData>
    <row r="1" customFormat="false" ht="28" hidden="false" customHeight="true" outlineLevel="0" collapsed="false">
      <c r="A1" s="17" t="s">
        <v>63</v>
      </c>
      <c r="B1" s="17"/>
      <c r="C1" s="17"/>
      <c r="D1" s="17"/>
      <c r="E1" s="17"/>
    </row>
    <row r="2" customFormat="false" ht="34" hidden="false" customHeight="true" outlineLevel="0" collapsed="false">
      <c r="A2" s="18" t="s">
        <v>64</v>
      </c>
      <c r="B2" s="18"/>
      <c r="C2" s="18"/>
      <c r="D2" s="18"/>
      <c r="E2" s="18"/>
    </row>
    <row r="4" customFormat="false" ht="15" hidden="false" customHeight="false" outlineLevel="0" collapsed="false">
      <c r="A4" s="11" t="s">
        <v>65</v>
      </c>
      <c r="B4" s="13" t="s">
        <v>66</v>
      </c>
      <c r="C4" s="13" t="s">
        <v>67</v>
      </c>
      <c r="D4" s="13" t="s">
        <v>68</v>
      </c>
      <c r="E4" s="12" t="s">
        <v>69</v>
      </c>
    </row>
    <row r="5" customFormat="false" ht="38" hidden="false" customHeight="true" outlineLevel="0" collapsed="false">
      <c r="A5" s="8" t="s">
        <v>70</v>
      </c>
      <c r="B5" s="7" t="s">
        <v>71</v>
      </c>
      <c r="C5" s="7" t="s">
        <v>72</v>
      </c>
      <c r="D5" s="7" t="s">
        <v>73</v>
      </c>
      <c r="E5" s="8" t="s">
        <v>74</v>
      </c>
    </row>
    <row r="6" customFormat="false" ht="38" hidden="false" customHeight="true" outlineLevel="0" collapsed="false">
      <c r="A6" s="10" t="s">
        <v>75</v>
      </c>
      <c r="B6" s="9" t="s">
        <v>76</v>
      </c>
      <c r="C6" s="9" t="s">
        <v>72</v>
      </c>
      <c r="D6" s="9" t="s">
        <v>77</v>
      </c>
      <c r="E6" s="10"/>
    </row>
    <row r="7" customFormat="false" ht="38" hidden="false" customHeight="true" outlineLevel="0" collapsed="false">
      <c r="A7" s="9" t="s">
        <v>78</v>
      </c>
      <c r="B7" s="9" t="s">
        <v>79</v>
      </c>
      <c r="C7" s="9" t="s">
        <v>72</v>
      </c>
      <c r="D7" s="9" t="s">
        <v>80</v>
      </c>
      <c r="E7" s="10" t="s">
        <v>81</v>
      </c>
    </row>
    <row r="8" customFormat="false" ht="38" hidden="false" customHeight="true" outlineLevel="0" collapsed="false">
      <c r="A8" s="9" t="s">
        <v>82</v>
      </c>
      <c r="B8" s="9" t="s">
        <v>83</v>
      </c>
      <c r="C8" s="9" t="s">
        <v>72</v>
      </c>
      <c r="D8" s="9" t="s">
        <v>84</v>
      </c>
      <c r="E8" s="10" t="s">
        <v>85</v>
      </c>
    </row>
    <row r="9" customFormat="false" ht="38" hidden="false" customHeight="true" outlineLevel="0" collapsed="false">
      <c r="A9" s="9" t="s">
        <v>86</v>
      </c>
      <c r="B9" s="9" t="s">
        <v>87</v>
      </c>
      <c r="C9" s="9" t="s">
        <v>72</v>
      </c>
      <c r="D9" s="9" t="s">
        <v>88</v>
      </c>
      <c r="E9" s="9" t="s">
        <v>89</v>
      </c>
    </row>
    <row r="10" customFormat="false" ht="38" hidden="false" customHeight="true" outlineLevel="0" collapsed="false">
      <c r="A10" s="10" t="s">
        <v>90</v>
      </c>
      <c r="B10" s="9" t="s">
        <v>91</v>
      </c>
      <c r="C10" s="9" t="s">
        <v>72</v>
      </c>
      <c r="D10" s="9" t="s">
        <v>92</v>
      </c>
      <c r="E10" s="19" t="s">
        <v>93</v>
      </c>
    </row>
    <row r="11" customFormat="false" ht="38" hidden="false" customHeight="true" outlineLevel="0" collapsed="false">
      <c r="A11" s="9" t="s">
        <v>94</v>
      </c>
      <c r="B11" s="9" t="s">
        <v>95</v>
      </c>
      <c r="C11" s="9" t="s">
        <v>72</v>
      </c>
      <c r="D11" s="9" t="s">
        <v>96</v>
      </c>
      <c r="E11" s="10" t="s">
        <v>97</v>
      </c>
    </row>
    <row r="12" customFormat="false" ht="38" hidden="false" customHeight="true" outlineLevel="0" collapsed="false">
      <c r="A12" s="9" t="s">
        <v>98</v>
      </c>
      <c r="B12" s="9" t="s">
        <v>99</v>
      </c>
      <c r="C12" s="9" t="s">
        <v>72</v>
      </c>
      <c r="D12" s="9" t="s">
        <v>100</v>
      </c>
      <c r="E12" s="10" t="s">
        <v>101</v>
      </c>
    </row>
    <row r="13" customFormat="false" ht="38" hidden="false" customHeight="true" outlineLevel="0" collapsed="false">
      <c r="A13" s="10" t="s">
        <v>102</v>
      </c>
      <c r="B13" s="9" t="s">
        <v>103</v>
      </c>
      <c r="C13" s="9" t="s">
        <v>72</v>
      </c>
      <c r="D13" s="9" t="s">
        <v>104</v>
      </c>
      <c r="E13" s="10"/>
    </row>
    <row r="14" customFormat="false" ht="38" hidden="false" customHeight="true" outlineLevel="0" collapsed="false">
      <c r="A14" s="10" t="s">
        <v>105</v>
      </c>
      <c r="B14" s="9" t="s">
        <v>106</v>
      </c>
      <c r="C14" s="9" t="s">
        <v>72</v>
      </c>
      <c r="D14" s="9" t="s">
        <v>107</v>
      </c>
      <c r="E14" s="10" t="s">
        <v>108</v>
      </c>
    </row>
    <row r="15" customFormat="false" ht="38" hidden="false" customHeight="true" outlineLevel="0" collapsed="false">
      <c r="A15" s="10" t="s">
        <v>109</v>
      </c>
      <c r="B15" s="10" t="s">
        <v>110</v>
      </c>
      <c r="C15" s="9" t="s">
        <v>72</v>
      </c>
      <c r="D15" s="9" t="s">
        <v>111</v>
      </c>
      <c r="E15" s="10" t="s">
        <v>112</v>
      </c>
    </row>
    <row r="16" customFormat="false" ht="38" hidden="false" customHeight="true" outlineLevel="0" collapsed="false">
      <c r="A16" s="9" t="s">
        <v>113</v>
      </c>
      <c r="B16" s="9" t="s">
        <v>114</v>
      </c>
      <c r="C16" s="9" t="s">
        <v>72</v>
      </c>
      <c r="D16" s="9" t="s">
        <v>115</v>
      </c>
      <c r="E16" s="10"/>
    </row>
    <row r="17" customFormat="false" ht="38" hidden="false" customHeight="true" outlineLevel="0" collapsed="false">
      <c r="A17" s="9" t="s">
        <v>116</v>
      </c>
      <c r="B17" s="9" t="s">
        <v>117</v>
      </c>
      <c r="C17" s="9" t="s">
        <v>72</v>
      </c>
      <c r="D17" s="9" t="s">
        <v>118</v>
      </c>
      <c r="E17" s="10"/>
    </row>
    <row r="18" customFormat="false" ht="38" hidden="false" customHeight="true" outlineLevel="0" collapsed="false">
      <c r="A18" s="9" t="s">
        <v>119</v>
      </c>
      <c r="B18" s="10" t="s">
        <v>120</v>
      </c>
      <c r="C18" s="9" t="s">
        <v>72</v>
      </c>
      <c r="D18" s="9" t="s">
        <v>121</v>
      </c>
      <c r="E18" s="10" t="s">
        <v>122</v>
      </c>
    </row>
    <row r="19" customFormat="false" ht="38" hidden="false" customHeight="true" outlineLevel="0" collapsed="false">
      <c r="A19" s="9" t="s">
        <v>123</v>
      </c>
      <c r="B19" s="10" t="s">
        <v>124</v>
      </c>
      <c r="C19" s="9" t="s">
        <v>72</v>
      </c>
      <c r="D19" s="9" t="s">
        <v>125</v>
      </c>
      <c r="E19" s="10"/>
    </row>
    <row r="20" customFormat="false" ht="38" hidden="false" customHeight="true" outlineLevel="0" collapsed="false">
      <c r="A20" s="9" t="s">
        <v>126</v>
      </c>
      <c r="B20" s="9" t="s">
        <v>127</v>
      </c>
      <c r="C20" s="9" t="s">
        <v>72</v>
      </c>
      <c r="D20" s="9" t="s">
        <v>128</v>
      </c>
      <c r="E20" s="9" t="s">
        <v>129</v>
      </c>
    </row>
    <row r="21" customFormat="false" ht="38" hidden="false" customHeight="true" outlineLevel="0" collapsed="false">
      <c r="A21" s="10" t="s">
        <v>130</v>
      </c>
      <c r="B21" s="9" t="s">
        <v>131</v>
      </c>
      <c r="C21" s="9" t="s">
        <v>72</v>
      </c>
      <c r="D21" s="9" t="s">
        <v>132</v>
      </c>
      <c r="E21" s="10" t="s">
        <v>133</v>
      </c>
    </row>
    <row r="22" customFormat="false" ht="38" hidden="false" customHeight="true" outlineLevel="0" collapsed="false">
      <c r="A22" s="10" t="s">
        <v>134</v>
      </c>
      <c r="B22" s="9" t="s">
        <v>135</v>
      </c>
      <c r="C22" s="9" t="s">
        <v>72</v>
      </c>
      <c r="D22" s="9" t="s">
        <v>136</v>
      </c>
      <c r="E22" s="10" t="s">
        <v>137</v>
      </c>
    </row>
    <row r="23" customFormat="false" ht="38" hidden="false" customHeight="true" outlineLevel="0" collapsed="false">
      <c r="A23" s="10" t="s">
        <v>138</v>
      </c>
      <c r="B23" s="9" t="s">
        <v>139</v>
      </c>
      <c r="C23" s="9" t="s">
        <v>72</v>
      </c>
      <c r="D23" s="9" t="s">
        <v>140</v>
      </c>
      <c r="E23" s="10" t="s">
        <v>141</v>
      </c>
    </row>
    <row r="24" customFormat="false" ht="38" hidden="false" customHeight="true" outlineLevel="0" collapsed="false">
      <c r="A24" s="10" t="s">
        <v>142</v>
      </c>
      <c r="B24" s="9" t="s">
        <v>143</v>
      </c>
      <c r="C24" s="9" t="s">
        <v>72</v>
      </c>
      <c r="D24" s="9" t="s">
        <v>144</v>
      </c>
      <c r="E24" s="10" t="s">
        <v>145</v>
      </c>
    </row>
    <row r="25" customFormat="false" ht="38" hidden="false" customHeight="true" outlineLevel="0" collapsed="false">
      <c r="A25" s="10" t="s">
        <v>146</v>
      </c>
      <c r="B25" s="9" t="s">
        <v>147</v>
      </c>
      <c r="C25" s="9" t="s">
        <v>148</v>
      </c>
      <c r="D25" s="9" t="s">
        <v>149</v>
      </c>
      <c r="E25" s="10" t="s">
        <v>150</v>
      </c>
    </row>
    <row r="26" customFormat="false" ht="38" hidden="false" customHeight="true" outlineLevel="0" collapsed="false">
      <c r="A26" s="10" t="s">
        <v>151</v>
      </c>
      <c r="B26" s="9" t="s">
        <v>152</v>
      </c>
      <c r="C26" s="9" t="s">
        <v>72</v>
      </c>
      <c r="D26" s="9" t="s">
        <v>153</v>
      </c>
      <c r="E26" s="10" t="s">
        <v>154</v>
      </c>
    </row>
    <row r="27" customFormat="false" ht="38" hidden="false" customHeight="true" outlineLevel="0" collapsed="false">
      <c r="A27" s="10" t="s">
        <v>155</v>
      </c>
      <c r="B27" s="9" t="s">
        <v>156</v>
      </c>
      <c r="C27" s="9" t="s">
        <v>72</v>
      </c>
      <c r="D27" s="9" t="s">
        <v>157</v>
      </c>
      <c r="E27" s="9" t="s">
        <v>158</v>
      </c>
    </row>
    <row r="28" customFormat="false" ht="38" hidden="false" customHeight="true" outlineLevel="0" collapsed="false">
      <c r="A28" s="10" t="s">
        <v>159</v>
      </c>
      <c r="B28" s="9" t="s">
        <v>160</v>
      </c>
      <c r="C28" s="9" t="s">
        <v>72</v>
      </c>
      <c r="D28" s="10" t="s">
        <v>161</v>
      </c>
      <c r="E28" s="9" t="s">
        <v>162</v>
      </c>
    </row>
    <row r="29" customFormat="false" ht="38" hidden="false" customHeight="true" outlineLevel="0" collapsed="false">
      <c r="A29" s="9" t="s">
        <v>163</v>
      </c>
      <c r="B29" s="9" t="s">
        <v>164</v>
      </c>
      <c r="C29" s="9" t="s">
        <v>72</v>
      </c>
      <c r="D29" s="9" t="s">
        <v>165</v>
      </c>
      <c r="E29" s="10" t="s">
        <v>166</v>
      </c>
    </row>
    <row r="30" customFormat="false" ht="38" hidden="false" customHeight="true" outlineLevel="0" collapsed="false">
      <c r="A30" s="9" t="s">
        <v>167</v>
      </c>
      <c r="B30" s="10" t="s">
        <v>168</v>
      </c>
      <c r="C30" s="9" t="s">
        <v>72</v>
      </c>
      <c r="D30" s="9" t="s">
        <v>169</v>
      </c>
      <c r="E30" s="10" t="s">
        <v>170</v>
      </c>
    </row>
  </sheetData>
  <mergeCells count="2">
    <mergeCell ref="A1:E1"/>
    <mergeCell ref="A2:E2"/>
  </mergeCells>
  <conditionalFormatting sqref="C5:C30">
    <cfRule type="containsText" priority="2" operator="containsText" aboveAverage="0" equalAverage="0" bottom="0" percent="0" rank="0" text="CONFLICTED" dxfId="15">
      <formula>NOT(ISERROR(SEARCH("CONFLICTED",C5)))</formula>
    </cfRule>
    <cfRule type="containsText" priority="3" operator="containsText" aboveAverage="0" equalAverage="0" bottom="0" percent="0" rank="0" text="CONFIRMED" dxfId="16">
      <formula>NOT(ISERROR(SEARCH("CONFIRMED",C5)))</formula>
    </cfRule>
    <cfRule type="containsText" priority="4" operator="containsText" aboveAverage="0" equalAverage="0" bottom="0" percent="0" rank="0" text="UNVERIFIED" dxfId="17">
      <formula>NOT(ISERROR(SEARCH("UNVERIFIED",C5)))</formula>
    </cfRule>
  </conditionalFormatting>
  <dataValidations count="1">
    <dataValidation allowBlank="false" errorStyle="stop" operator="between" showDropDown="false" showErrorMessage="false" showInputMessage="false" sqref="C5:C30" type="list">
      <formula1>"CONFIRMED,INFERRED,UNVERIFIED,CONFLICTED"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1.94"/>
    <col collapsed="false" customWidth="true" hidden="false" outlineLevel="0" max="2" min="2" style="0" width="33.42"/>
    <col collapsed="false" customWidth="true" hidden="false" outlineLevel="0" max="3" min="3" style="0" width="65.65"/>
    <col collapsed="false" customWidth="true" hidden="false" outlineLevel="0" max="4" min="4" style="0" width="33.42"/>
    <col collapsed="false" customWidth="true" hidden="false" outlineLevel="0" max="5" min="5" style="0" width="53.71"/>
    <col collapsed="false" customWidth="true" hidden="false" outlineLevel="0" max="6" min="6" style="0" width="65.65"/>
    <col collapsed="false" customWidth="true" hidden="false" outlineLevel="0" max="7" min="7" style="0" width="57.29"/>
    <col collapsed="false" customWidth="true" hidden="false" outlineLevel="0" max="8" min="8" style="0" width="53.71"/>
    <col collapsed="false" customWidth="true" hidden="false" outlineLevel="0" max="9" min="9" style="0" width="16.71"/>
    <col collapsed="false" customWidth="true" hidden="false" outlineLevel="0" max="11" min="10" style="0" width="57.29"/>
    <col collapsed="false" customWidth="true" hidden="false" outlineLevel="0" max="12" min="12" style="0" width="50.13"/>
    <col collapsed="false" customWidth="true" hidden="false" outlineLevel="0" max="13" min="13" style="0" width="53.71"/>
    <col collapsed="false" customWidth="true" hidden="false" outlineLevel="0" max="14" min="14" style="0" width="45.35"/>
    <col collapsed="false" customWidth="true" hidden="false" outlineLevel="0" max="15" min="15" style="0" width="33.42"/>
    <col collapsed="false" customWidth="true" hidden="false" outlineLevel="0" max="16" min="16" style="0" width="16.71"/>
  </cols>
  <sheetData>
    <row r="1" customFormat="false" ht="28" hidden="false" customHeight="true" outlineLevel="0" collapsed="false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34" hidden="false" customHeight="true" outlineLevel="0" collapsed="false">
      <c r="A2" s="2" t="s">
        <v>172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11" t="s">
        <v>173</v>
      </c>
      <c r="B4" s="13" t="s">
        <v>174</v>
      </c>
      <c r="C4" s="13" t="s">
        <v>175</v>
      </c>
      <c r="D4" s="13" t="s">
        <v>176</v>
      </c>
      <c r="E4" s="13" t="s">
        <v>177</v>
      </c>
      <c r="F4" s="13" t="s">
        <v>178</v>
      </c>
      <c r="G4" s="13" t="s">
        <v>179</v>
      </c>
      <c r="H4" s="13" t="s">
        <v>180</v>
      </c>
      <c r="I4" s="13" t="s">
        <v>181</v>
      </c>
      <c r="J4" s="13" t="s">
        <v>182</v>
      </c>
      <c r="K4" s="13" t="s">
        <v>183</v>
      </c>
      <c r="L4" s="13" t="s">
        <v>184</v>
      </c>
      <c r="M4" s="13" t="s">
        <v>185</v>
      </c>
      <c r="N4" s="13" t="s">
        <v>186</v>
      </c>
      <c r="O4" s="13" t="s">
        <v>187</v>
      </c>
      <c r="P4" s="12" t="s">
        <v>188</v>
      </c>
    </row>
    <row r="5" customFormat="false" ht="44" hidden="false" customHeight="true" outlineLevel="0" collapsed="false">
      <c r="A5" s="7" t="s">
        <v>51</v>
      </c>
      <c r="B5" s="8" t="s">
        <v>189</v>
      </c>
      <c r="C5" s="8" t="s">
        <v>190</v>
      </c>
      <c r="D5" s="8" t="s">
        <v>191</v>
      </c>
      <c r="E5" s="8" t="s">
        <v>192</v>
      </c>
      <c r="F5" s="8" t="s">
        <v>193</v>
      </c>
      <c r="G5" s="8" t="s">
        <v>194</v>
      </c>
      <c r="H5" s="7" t="s">
        <v>195</v>
      </c>
      <c r="I5" s="7" t="s">
        <v>196</v>
      </c>
      <c r="J5" s="7" t="s">
        <v>197</v>
      </c>
      <c r="K5" s="8" t="s">
        <v>198</v>
      </c>
      <c r="L5" s="8" t="s">
        <v>199</v>
      </c>
      <c r="M5" s="8" t="s">
        <v>200</v>
      </c>
      <c r="N5" s="8" t="s">
        <v>201</v>
      </c>
      <c r="O5" s="7" t="s">
        <v>30</v>
      </c>
      <c r="P5" s="15" t="n">
        <f aca="false">IFERROR(COUNTIFS('03_任务总表'!$C$5:$C$200,$A5,'03_任务总表'!$Z$5:$Z$200,"VERIFIED")/SUMIFS('03_任务总表'!$AH$5:$AH$200,'03_任务总表'!$C$5:$C$200,$A5),0)</f>
        <v>1</v>
      </c>
    </row>
    <row r="6" customFormat="false" ht="44" hidden="false" customHeight="true" outlineLevel="0" collapsed="false">
      <c r="A6" s="9" t="s">
        <v>53</v>
      </c>
      <c r="B6" s="10" t="s">
        <v>202</v>
      </c>
      <c r="C6" s="10" t="s">
        <v>203</v>
      </c>
      <c r="D6" s="10" t="s">
        <v>204</v>
      </c>
      <c r="E6" s="9" t="s">
        <v>205</v>
      </c>
      <c r="F6" s="10" t="s">
        <v>206</v>
      </c>
      <c r="G6" s="10" t="s">
        <v>207</v>
      </c>
      <c r="H6" s="9" t="s">
        <v>208</v>
      </c>
      <c r="I6" s="9" t="s">
        <v>51</v>
      </c>
      <c r="J6" s="10" t="s">
        <v>209</v>
      </c>
      <c r="K6" s="10" t="s">
        <v>210</v>
      </c>
      <c r="L6" s="9" t="s">
        <v>211</v>
      </c>
      <c r="M6" s="10" t="s">
        <v>212</v>
      </c>
      <c r="N6" s="10" t="s">
        <v>213</v>
      </c>
      <c r="O6" s="9" t="s">
        <v>16</v>
      </c>
      <c r="P6" s="16" t="n">
        <f aca="false">IFERROR(COUNTIFS('03_任务总表'!$C$5:$C$200,$A6,'03_任务总表'!$Z$5:$Z$200,"VERIFIED")/SUMIFS('03_任务总表'!$AH$5:$AH$200,'03_任务总表'!$C$5:$C$200,$A6),0)</f>
        <v>0</v>
      </c>
    </row>
    <row r="7" customFormat="false" ht="44" hidden="false" customHeight="true" outlineLevel="0" collapsed="false">
      <c r="A7" s="9" t="s">
        <v>55</v>
      </c>
      <c r="B7" s="10" t="s">
        <v>214</v>
      </c>
      <c r="C7" s="10" t="s">
        <v>215</v>
      </c>
      <c r="D7" s="10" t="s">
        <v>216</v>
      </c>
      <c r="E7" s="9" t="s">
        <v>217</v>
      </c>
      <c r="F7" s="10" t="s">
        <v>218</v>
      </c>
      <c r="G7" s="10" t="s">
        <v>219</v>
      </c>
      <c r="H7" s="9" t="s">
        <v>220</v>
      </c>
      <c r="I7" s="9" t="s">
        <v>53</v>
      </c>
      <c r="J7" s="10" t="s">
        <v>221</v>
      </c>
      <c r="K7" s="10" t="s">
        <v>222</v>
      </c>
      <c r="L7" s="10" t="s">
        <v>223</v>
      </c>
      <c r="M7" s="10" t="s">
        <v>224</v>
      </c>
      <c r="N7" s="9" t="s">
        <v>225</v>
      </c>
      <c r="O7" s="9" t="s">
        <v>7</v>
      </c>
      <c r="P7" s="16" t="n">
        <f aca="false">IFERROR(COUNTIFS('03_任务总表'!$C$5:$C$200,$A7,'03_任务总表'!$Z$5:$Z$200,"VERIFIED")/SUMIFS('03_任务总表'!$AH$5:$AH$200,'03_任务总表'!$C$5:$C$200,$A7),0)</f>
        <v>0</v>
      </c>
    </row>
    <row r="8" customFormat="false" ht="44" hidden="false" customHeight="true" outlineLevel="0" collapsed="false">
      <c r="A8" s="9" t="s">
        <v>57</v>
      </c>
      <c r="B8" s="10" t="s">
        <v>226</v>
      </c>
      <c r="C8" s="10" t="s">
        <v>227</v>
      </c>
      <c r="D8" s="10" t="s">
        <v>228</v>
      </c>
      <c r="E8" s="9" t="s">
        <v>229</v>
      </c>
      <c r="F8" s="10" t="s">
        <v>230</v>
      </c>
      <c r="G8" s="10" t="s">
        <v>231</v>
      </c>
      <c r="H8" s="9" t="s">
        <v>232</v>
      </c>
      <c r="I8" s="9" t="s">
        <v>55</v>
      </c>
      <c r="J8" s="10" t="s">
        <v>233</v>
      </c>
      <c r="K8" s="10" t="s">
        <v>234</v>
      </c>
      <c r="L8" s="10" t="s">
        <v>235</v>
      </c>
      <c r="M8" s="10" t="s">
        <v>236</v>
      </c>
      <c r="N8" s="9" t="s">
        <v>237</v>
      </c>
      <c r="O8" s="9" t="s">
        <v>7</v>
      </c>
      <c r="P8" s="16" t="n">
        <f aca="false">IFERROR(COUNTIFS('03_任务总表'!$C$5:$C$200,$A8,'03_任务总表'!$Z$5:$Z$200,"VERIFIED")/SUMIFS('03_任务总表'!$AH$5:$AH$200,'03_任务总表'!$C$5:$C$200,$A8),0)</f>
        <v>0</v>
      </c>
    </row>
    <row r="9" customFormat="false" ht="44" hidden="false" customHeight="true" outlineLevel="0" collapsed="false">
      <c r="A9" s="9" t="s">
        <v>58</v>
      </c>
      <c r="B9" s="10" t="s">
        <v>238</v>
      </c>
      <c r="C9" s="10" t="s">
        <v>239</v>
      </c>
      <c r="D9" s="10" t="s">
        <v>240</v>
      </c>
      <c r="E9" s="9" t="s">
        <v>241</v>
      </c>
      <c r="F9" s="9" t="s">
        <v>242</v>
      </c>
      <c r="G9" s="10" t="s">
        <v>243</v>
      </c>
      <c r="H9" s="9" t="s">
        <v>244</v>
      </c>
      <c r="I9" s="9" t="s">
        <v>57</v>
      </c>
      <c r="J9" s="10" t="s">
        <v>245</v>
      </c>
      <c r="K9" s="10" t="s">
        <v>246</v>
      </c>
      <c r="L9" s="9" t="s">
        <v>247</v>
      </c>
      <c r="M9" s="9" t="s">
        <v>248</v>
      </c>
      <c r="N9" s="9" t="s">
        <v>249</v>
      </c>
      <c r="O9" s="9" t="s">
        <v>7</v>
      </c>
      <c r="P9" s="16" t="n">
        <f aca="false">IFERROR(COUNTIFS('03_任务总表'!$C$5:$C$200,$A9,'03_任务总表'!$Z$5:$Z$200,"VERIFIED")/SUMIFS('03_任务总表'!$AH$5:$AH$200,'03_任务总表'!$C$5:$C$200,$A9),0)</f>
        <v>0</v>
      </c>
    </row>
    <row r="10" customFormat="false" ht="44" hidden="false" customHeight="true" outlineLevel="0" collapsed="false">
      <c r="A10" s="9" t="s">
        <v>59</v>
      </c>
      <c r="B10" s="10" t="s">
        <v>250</v>
      </c>
      <c r="C10" s="10" t="s">
        <v>251</v>
      </c>
      <c r="D10" s="10" t="s">
        <v>252</v>
      </c>
      <c r="E10" s="9" t="s">
        <v>253</v>
      </c>
      <c r="F10" s="10" t="s">
        <v>254</v>
      </c>
      <c r="G10" s="10" t="s">
        <v>255</v>
      </c>
      <c r="H10" s="9" t="s">
        <v>256</v>
      </c>
      <c r="I10" s="9" t="s">
        <v>58</v>
      </c>
      <c r="J10" s="10" t="s">
        <v>257</v>
      </c>
      <c r="K10" s="10" t="s">
        <v>258</v>
      </c>
      <c r="L10" s="10" t="s">
        <v>259</v>
      </c>
      <c r="M10" s="10" t="s">
        <v>260</v>
      </c>
      <c r="N10" s="9" t="s">
        <v>261</v>
      </c>
      <c r="O10" s="9" t="s">
        <v>7</v>
      </c>
      <c r="P10" s="16" t="n">
        <f aca="false">IFERROR(COUNTIFS('03_任务总表'!$C$5:$C$200,$A10,'03_任务总表'!$Z$5:$Z$200,"VERIFIED")/SUMIFS('03_任务总表'!$AH$5:$AH$200,'03_任务总表'!$C$5:$C$200,$A10),0)</f>
        <v>0</v>
      </c>
    </row>
    <row r="11" customFormat="false" ht="44" hidden="false" customHeight="true" outlineLevel="0" collapsed="false">
      <c r="A11" s="9" t="s">
        <v>60</v>
      </c>
      <c r="B11" s="10" t="s">
        <v>262</v>
      </c>
      <c r="C11" s="10" t="s">
        <v>263</v>
      </c>
      <c r="D11" s="10" t="s">
        <v>264</v>
      </c>
      <c r="E11" s="9" t="s">
        <v>265</v>
      </c>
      <c r="F11" s="10" t="s">
        <v>266</v>
      </c>
      <c r="G11" s="10" t="s">
        <v>267</v>
      </c>
      <c r="H11" s="9" t="s">
        <v>268</v>
      </c>
      <c r="I11" s="9" t="s">
        <v>59</v>
      </c>
      <c r="J11" s="10" t="s">
        <v>269</v>
      </c>
      <c r="K11" s="10" t="s">
        <v>270</v>
      </c>
      <c r="L11" s="10" t="s">
        <v>271</v>
      </c>
      <c r="M11" s="10" t="s">
        <v>272</v>
      </c>
      <c r="N11" s="9" t="s">
        <v>273</v>
      </c>
      <c r="O11" s="9" t="s">
        <v>7</v>
      </c>
      <c r="P11" s="16" t="n">
        <f aca="false">IFERROR(COUNTIFS('03_任务总表'!$C$5:$C$200,$A11,'03_任务总表'!$Z$5:$Z$200,"VERIFIED")/SUMIFS('03_任务总表'!$AH$5:$AH$200,'03_任务总表'!$C$5:$C$200,$A11),0)</f>
        <v>0</v>
      </c>
    </row>
    <row r="12" customFormat="false" ht="44" hidden="false" customHeight="true" outlineLevel="0" collapsed="false">
      <c r="A12" s="9" t="s">
        <v>61</v>
      </c>
      <c r="B12" s="10" t="s">
        <v>274</v>
      </c>
      <c r="C12" s="10" t="s">
        <v>275</v>
      </c>
      <c r="D12" s="10" t="s">
        <v>276</v>
      </c>
      <c r="E12" s="9" t="s">
        <v>277</v>
      </c>
      <c r="F12" s="10" t="s">
        <v>278</v>
      </c>
      <c r="G12" s="10" t="s">
        <v>279</v>
      </c>
      <c r="H12" s="9" t="s">
        <v>280</v>
      </c>
      <c r="I12" s="9" t="s">
        <v>60</v>
      </c>
      <c r="J12" s="10" t="s">
        <v>281</v>
      </c>
      <c r="K12" s="10" t="s">
        <v>282</v>
      </c>
      <c r="L12" s="10" t="s">
        <v>283</v>
      </c>
      <c r="M12" s="9" t="s">
        <v>284</v>
      </c>
      <c r="N12" s="9" t="s">
        <v>285</v>
      </c>
      <c r="O12" s="9" t="s">
        <v>7</v>
      </c>
      <c r="P12" s="16" t="n">
        <f aca="false">IFERROR(COUNTIFS('03_任务总表'!$C$5:$C$200,$A12,'03_任务总表'!$Z$5:$Z$200,"VERIFIED")/SUMIFS('03_任务总表'!$AH$5:$AH$200,'03_任务总表'!$C$5:$C$200,$A12),0)</f>
        <v>0</v>
      </c>
    </row>
    <row r="13" customFormat="false" ht="44" hidden="false" customHeight="true" outlineLevel="0" collapsed="false">
      <c r="A13" s="9" t="s">
        <v>62</v>
      </c>
      <c r="B13" s="10" t="s">
        <v>286</v>
      </c>
      <c r="C13" s="10" t="s">
        <v>287</v>
      </c>
      <c r="D13" s="10" t="s">
        <v>288</v>
      </c>
      <c r="E13" s="9" t="s">
        <v>289</v>
      </c>
      <c r="F13" s="10" t="s">
        <v>290</v>
      </c>
      <c r="G13" s="10" t="s">
        <v>291</v>
      </c>
      <c r="H13" s="9" t="s">
        <v>292</v>
      </c>
      <c r="I13" s="9" t="s">
        <v>61</v>
      </c>
      <c r="J13" s="10" t="s">
        <v>293</v>
      </c>
      <c r="K13" s="10" t="s">
        <v>294</v>
      </c>
      <c r="L13" s="10" t="s">
        <v>295</v>
      </c>
      <c r="M13" s="10" t="s">
        <v>296</v>
      </c>
      <c r="N13" s="9" t="s">
        <v>297</v>
      </c>
      <c r="O13" s="9" t="s">
        <v>7</v>
      </c>
      <c r="P13" s="16" t="n">
        <f aca="false">IFERROR(COUNTIFS('03_任务总表'!$C$5:$C$200,$A13,'03_任务总表'!$Z$5:$Z$200,"VERIFIED")/SUMIFS('03_任务总表'!$AH$5:$AH$200,'03_任务总表'!$C$5:$C$200,$A13),0)</f>
        <v>0</v>
      </c>
    </row>
  </sheetData>
  <mergeCells count="2">
    <mergeCell ref="A1:P1"/>
    <mergeCell ref="A2:P2"/>
  </mergeCells>
  <conditionalFormatting sqref="O5:O13">
    <cfRule type="containsText" priority="2" operator="containsText" aboveAverage="0" equalAverage="0" bottom="0" percent="0" rank="0" text="BLOCKED" dxfId="20">
      <formula>NOT(ISERROR(SEARCH("BLOCKED",O5)))</formula>
    </cfRule>
    <cfRule type="containsText" priority="3" operator="containsText" aboveAverage="0" equalAverage="0" bottom="0" percent="0" rank="0" text="REVIEW_FAILED" dxfId="21">
      <formula>NOT(ISERROR(SEARCH("REVIEW_FAILED",O5)))</formula>
    </cfRule>
    <cfRule type="containsText" priority="4" operator="containsText" aboveAverage="0" equalAverage="0" bottom="0" percent="0" rank="0" text="READY" dxfId="22">
      <formula>NOT(ISERROR(SEARCH("READY",O5)))</formula>
    </cfRule>
    <cfRule type="containsText" priority="5" operator="containsText" aboveAverage="0" equalAverage="0" bottom="0" percent="0" rank="0" text="IN_PROGRESS" dxfId="23">
      <formula>NOT(ISERROR(SEARCH("IN_PROGRESS",O5)))</formula>
    </cfRule>
    <cfRule type="containsText" priority="6" operator="containsText" aboveAverage="0" equalAverage="0" bottom="0" percent="0" rank="0" text="IMPLEMENTED_PENDING_REVIEW" dxfId="24">
      <formula>NOT(ISERROR(SEARCH("IMPLEMENTED_PENDING_REVIEW",O5)))</formula>
    </cfRule>
    <cfRule type="containsText" priority="7" operator="containsText" aboveAverage="0" equalAverage="0" bottom="0" percent="0" rank="0" text="VERIFIED" dxfId="25">
      <formula>NOT(ISERROR(SEARCH("VERIFIED",O5)))</formula>
    </cfRule>
    <cfRule type="containsText" priority="8" operator="containsText" aboveAverage="0" equalAverage="0" bottom="0" percent="0" rank="0" text="DEFERRED" dxfId="26">
      <formula>NOT(ISERROR(SEARCH("DEFERRED",O5)))</formula>
    </cfRule>
  </conditionalFormatting>
  <conditionalFormatting sqref="P5:P13">
    <cfRule type="dataBar" priority="9">
      <dataBar showValue="1" minLength="10" maxLength="90">
        <cfvo type="min" val="0"/>
        <cfvo type="max" val="0"/>
        <color rgb="FF3D7EA6"/>
      </dataBar>
      <extLst>
        <ext xmlns:x14="http://schemas.microsoft.com/office/spreadsheetml/2009/9/main" uri="{B025F937-C7B1-47D3-B67F-A62EFF666E3E}">
          <x14:id>{A8825790-D800-47D0-B457-627B9758258F}</x14:id>
        </ext>
      </extLst>
    </cfRule>
  </conditionalFormatting>
  <dataValidations count="1">
    <dataValidation allowBlank="false" errorStyle="stop" operator="between" showDropDown="false" showErrorMessage="false" showInputMessage="false" sqref="O5:O13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825790-D800-47D0-B457-627B9758258F}">
            <x14:dataBar minLength="10" maxLength="90" axisPosition="automatic" gradient="true">
              <x14:cfvo type="min"/>
              <x14:cfvo type="max"/>
              <x14:negativeFillColor rgb="FF3D7EA6"/>
              <x14:axisColor rgb="FF000000"/>
            </x14:dataBar>
          </x14:cfRule>
          <xm:sqref>P5:P13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2" min="1" style="0" width="21.48"/>
    <col collapsed="false" customWidth="true" hidden="false" outlineLevel="0" max="3" min="3" style="0" width="10.74"/>
    <col collapsed="false" customWidth="true" hidden="false" outlineLevel="0" max="4" min="4" style="0" width="23.87"/>
    <col collapsed="false" customWidth="true" hidden="false" outlineLevel="0" max="5" min="5" style="0" width="40.58"/>
    <col collapsed="false" customWidth="true" hidden="false" outlineLevel="0" max="6" min="6" style="0" width="21.48"/>
    <col collapsed="false" customWidth="true" hidden="false" outlineLevel="0" max="11" min="7" style="0" width="50.13"/>
    <col collapsed="false" customWidth="true" hidden="false" outlineLevel="0" max="12" min="12" style="0" width="40.58"/>
    <col collapsed="false" customWidth="true" hidden="false" outlineLevel="0" max="13" min="13" style="0" width="50.13"/>
    <col collapsed="false" customWidth="true" hidden="false" outlineLevel="0" max="14" min="14" style="0" width="28.65"/>
    <col collapsed="false" customWidth="true" hidden="false" outlineLevel="0" max="15" min="15" style="0" width="40.58"/>
    <col collapsed="false" customWidth="true" hidden="false" outlineLevel="0" max="16" min="16" style="0" width="57.29"/>
    <col collapsed="false" customWidth="true" hidden="false" outlineLevel="0" max="17" min="17" style="0" width="35.81"/>
    <col collapsed="false" customWidth="true" hidden="false" outlineLevel="0" max="18" min="18" style="0" width="33.42"/>
    <col collapsed="false" customWidth="true" hidden="false" outlineLevel="0" max="19" min="19" style="0" width="35.81"/>
    <col collapsed="false" customWidth="true" hidden="false" outlineLevel="0" max="20" min="20" style="0" width="45.35"/>
    <col collapsed="false" customWidth="true" hidden="false" outlineLevel="0" max="21" min="21" style="0" width="50.13"/>
    <col collapsed="false" customWidth="true" hidden="false" outlineLevel="0" max="22" min="22" style="0" width="21.48"/>
    <col collapsed="false" customWidth="true" hidden="false" outlineLevel="0" max="23" min="23" style="0" width="28.65"/>
    <col collapsed="false" customWidth="true" hidden="false" outlineLevel="0" max="24" min="24" style="0" width="11.94"/>
    <col collapsed="false" customWidth="true" hidden="false" outlineLevel="0" max="25" min="25" style="0" width="14.33"/>
    <col collapsed="false" customWidth="true" hidden="false" outlineLevel="0" max="26" min="26" style="0" width="35.81"/>
    <col collapsed="false" customWidth="true" hidden="false" outlineLevel="0" max="28" min="27" style="0" width="16.71"/>
    <col collapsed="false" customWidth="true" hidden="false" outlineLevel="0" max="30" min="29" style="0" width="19.1"/>
    <col collapsed="false" customWidth="true" hidden="false" outlineLevel="0" max="31" min="31" style="0" width="35.81"/>
    <col collapsed="false" customWidth="true" hidden="false" outlineLevel="0" max="33" min="32" style="0" width="23.87"/>
    <col collapsed="false" customWidth="true" hidden="false" outlineLevel="0" max="34" min="34" style="0" width="26.26"/>
    <col collapsed="false" customWidth="true" hidden="false" outlineLevel="0" max="35" min="35" style="0" width="45.35"/>
    <col collapsed="false" customWidth="true" hidden="false" outlineLevel="0" max="36" min="36" style="0" width="35.81"/>
  </cols>
  <sheetData>
    <row r="1" customFormat="false" ht="28" hidden="false" customHeight="true" outlineLevel="0" collapsed="false">
      <c r="A1" s="17" t="s">
        <v>298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</row>
    <row r="2" customFormat="false" ht="34" hidden="false" customHeight="true" outlineLevel="0" collapsed="false">
      <c r="A2" s="18" t="s">
        <v>299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4" customFormat="false" ht="25.35" hidden="false" customHeight="false" outlineLevel="0" collapsed="false">
      <c r="A4" s="20" t="s">
        <v>300</v>
      </c>
      <c r="B4" s="14" t="s">
        <v>301</v>
      </c>
      <c r="C4" s="14" t="s">
        <v>302</v>
      </c>
      <c r="D4" s="14" t="s">
        <v>303</v>
      </c>
      <c r="E4" s="14" t="s">
        <v>304</v>
      </c>
      <c r="F4" s="14" t="s">
        <v>305</v>
      </c>
      <c r="G4" s="14" t="s">
        <v>306</v>
      </c>
      <c r="H4" s="14" t="s">
        <v>307</v>
      </c>
      <c r="I4" s="14" t="s">
        <v>308</v>
      </c>
      <c r="J4" s="14" t="s">
        <v>309</v>
      </c>
      <c r="K4" s="14" t="s">
        <v>310</v>
      </c>
      <c r="L4" s="14" t="s">
        <v>311</v>
      </c>
      <c r="M4" s="14" t="s">
        <v>312</v>
      </c>
      <c r="N4" s="14" t="s">
        <v>313</v>
      </c>
      <c r="O4" s="14" t="s">
        <v>314</v>
      </c>
      <c r="P4" s="14" t="s">
        <v>315</v>
      </c>
      <c r="Q4" s="14" t="s">
        <v>316</v>
      </c>
      <c r="R4" s="14" t="s">
        <v>317</v>
      </c>
      <c r="S4" s="14" t="s">
        <v>318</v>
      </c>
      <c r="T4" s="14" t="s">
        <v>319</v>
      </c>
      <c r="U4" s="14" t="s">
        <v>320</v>
      </c>
      <c r="V4" s="14" t="s">
        <v>321</v>
      </c>
      <c r="W4" s="14" t="s">
        <v>322</v>
      </c>
      <c r="X4" s="14" t="s">
        <v>323</v>
      </c>
      <c r="Y4" s="14" t="s">
        <v>324</v>
      </c>
      <c r="Z4" s="14" t="s">
        <v>325</v>
      </c>
      <c r="AA4" s="14" t="s">
        <v>326</v>
      </c>
      <c r="AB4" s="14" t="s">
        <v>327</v>
      </c>
      <c r="AC4" s="14" t="s">
        <v>328</v>
      </c>
      <c r="AD4" s="14" t="s">
        <v>329</v>
      </c>
      <c r="AE4" s="14" t="s">
        <v>330</v>
      </c>
      <c r="AF4" s="14" t="s">
        <v>331</v>
      </c>
      <c r="AG4" s="14" t="s">
        <v>332</v>
      </c>
      <c r="AH4" s="14" t="s">
        <v>333</v>
      </c>
      <c r="AI4" s="14" t="s">
        <v>334</v>
      </c>
      <c r="AJ4" s="21" t="s">
        <v>335</v>
      </c>
    </row>
    <row r="5" customFormat="false" ht="52" hidden="false" customHeight="true" outlineLevel="0" collapsed="false">
      <c r="A5" s="7" t="s">
        <v>336</v>
      </c>
      <c r="B5" s="7" t="s">
        <v>51</v>
      </c>
      <c r="C5" s="7" t="s">
        <v>51</v>
      </c>
      <c r="D5" s="7" t="s">
        <v>337</v>
      </c>
      <c r="E5" s="7" t="s">
        <v>338</v>
      </c>
      <c r="F5" s="7" t="s">
        <v>339</v>
      </c>
      <c r="G5" s="8" t="s">
        <v>340</v>
      </c>
      <c r="H5" s="8" t="s">
        <v>341</v>
      </c>
      <c r="I5" s="8" t="s">
        <v>342</v>
      </c>
      <c r="J5" s="8" t="s">
        <v>343</v>
      </c>
      <c r="K5" s="7" t="s">
        <v>344</v>
      </c>
      <c r="L5" s="8" t="s">
        <v>345</v>
      </c>
      <c r="M5" s="8" t="s">
        <v>346</v>
      </c>
      <c r="N5" s="8"/>
      <c r="O5" s="7" t="s">
        <v>347</v>
      </c>
      <c r="P5" s="8" t="s">
        <v>348</v>
      </c>
      <c r="Q5" s="7" t="s">
        <v>349</v>
      </c>
      <c r="R5" s="7" t="s">
        <v>350</v>
      </c>
      <c r="S5" s="7" t="s">
        <v>351</v>
      </c>
      <c r="T5" s="8" t="s">
        <v>352</v>
      </c>
      <c r="U5" s="8" t="s">
        <v>353</v>
      </c>
      <c r="V5" s="7" t="s">
        <v>354</v>
      </c>
      <c r="W5" s="7" t="s">
        <v>355</v>
      </c>
      <c r="X5" s="7" t="s">
        <v>356</v>
      </c>
      <c r="Y5" s="7" t="s">
        <v>357</v>
      </c>
      <c r="Z5" s="7" t="s">
        <v>30</v>
      </c>
      <c r="AA5" s="7" t="s">
        <v>358</v>
      </c>
      <c r="AB5" s="7" t="s">
        <v>358</v>
      </c>
      <c r="AC5" s="8"/>
      <c r="AD5" s="7" t="s">
        <v>11</v>
      </c>
      <c r="AE5" s="7" t="s">
        <v>359</v>
      </c>
      <c r="AF5" s="8"/>
      <c r="AG5" s="8"/>
      <c r="AH5" s="22" t="n">
        <f aca="false">IF(AND($Z5="CANCELLED",COUNTIFS('09_风险与决策'!$A$5:$A$100,$AG5,'09_风险与决策'!$B$5:$B$100,"Decision",'09_风险与决策'!$L$5:$L$100,"ACCEPTED")&gt;0),0,1)</f>
        <v>1</v>
      </c>
      <c r="AI5" s="8" t="s">
        <v>360</v>
      </c>
      <c r="AJ5" s="7" t="s">
        <v>361</v>
      </c>
    </row>
    <row r="6" customFormat="false" ht="52" hidden="false" customHeight="true" outlineLevel="0" collapsed="false">
      <c r="A6" s="9" t="s">
        <v>362</v>
      </c>
      <c r="B6" s="9" t="s">
        <v>51</v>
      </c>
      <c r="C6" s="9" t="s">
        <v>51</v>
      </c>
      <c r="D6" s="9" t="s">
        <v>363</v>
      </c>
      <c r="E6" s="10" t="s">
        <v>364</v>
      </c>
      <c r="F6" s="9" t="s">
        <v>365</v>
      </c>
      <c r="G6" s="10" t="s">
        <v>366</v>
      </c>
      <c r="H6" s="10" t="s">
        <v>367</v>
      </c>
      <c r="I6" s="10" t="s">
        <v>368</v>
      </c>
      <c r="J6" s="10" t="s">
        <v>369</v>
      </c>
      <c r="K6" s="9" t="s">
        <v>344</v>
      </c>
      <c r="L6" s="10" t="s">
        <v>370</v>
      </c>
      <c r="M6" s="10" t="s">
        <v>371</v>
      </c>
      <c r="N6" s="10"/>
      <c r="O6" s="9" t="s">
        <v>372</v>
      </c>
      <c r="P6" s="10" t="s">
        <v>373</v>
      </c>
      <c r="Q6" s="10" t="s">
        <v>374</v>
      </c>
      <c r="R6" s="9" t="s">
        <v>375</v>
      </c>
      <c r="S6" s="9" t="s">
        <v>351</v>
      </c>
      <c r="T6" s="10" t="s">
        <v>376</v>
      </c>
      <c r="U6" s="10" t="s">
        <v>377</v>
      </c>
      <c r="V6" s="9" t="s">
        <v>354</v>
      </c>
      <c r="W6" s="9" t="s">
        <v>378</v>
      </c>
      <c r="X6" s="9" t="s">
        <v>356</v>
      </c>
      <c r="Y6" s="9" t="s">
        <v>357</v>
      </c>
      <c r="Z6" s="9" t="s">
        <v>30</v>
      </c>
      <c r="AA6" s="9" t="s">
        <v>379</v>
      </c>
      <c r="AB6" s="9" t="s">
        <v>379</v>
      </c>
      <c r="AC6" s="9" t="s">
        <v>380</v>
      </c>
      <c r="AD6" s="9" t="s">
        <v>380</v>
      </c>
      <c r="AE6" s="9" t="s">
        <v>381</v>
      </c>
      <c r="AF6" s="9" t="s">
        <v>382</v>
      </c>
      <c r="AG6" s="10"/>
      <c r="AH6" s="23" t="n">
        <f aca="false">IF(AND($Z6="CANCELLED",COUNTIFS('09_风险与决策'!$A$5:$A$100,$AG6,'09_风险与决策'!$B$5:$B$100,"Decision",'09_风险与决策'!$L$5:$L$100,"ACCEPTED")&gt;0),0,1)</f>
        <v>1</v>
      </c>
      <c r="AI6" s="10" t="s">
        <v>383</v>
      </c>
      <c r="AJ6" s="9" t="s">
        <v>384</v>
      </c>
    </row>
    <row r="7" customFormat="false" ht="52" hidden="false" customHeight="true" outlineLevel="0" collapsed="false">
      <c r="A7" s="9" t="s">
        <v>385</v>
      </c>
      <c r="B7" s="9" t="s">
        <v>362</v>
      </c>
      <c r="C7" s="9" t="s">
        <v>51</v>
      </c>
      <c r="D7" s="9" t="s">
        <v>386</v>
      </c>
      <c r="E7" s="10" t="s">
        <v>387</v>
      </c>
      <c r="F7" s="9" t="s">
        <v>388</v>
      </c>
      <c r="G7" s="10" t="s">
        <v>389</v>
      </c>
      <c r="H7" s="10" t="s">
        <v>390</v>
      </c>
      <c r="I7" s="10" t="s">
        <v>391</v>
      </c>
      <c r="J7" s="10" t="s">
        <v>392</v>
      </c>
      <c r="K7" s="9" t="s">
        <v>393</v>
      </c>
      <c r="L7" s="9" t="s">
        <v>394</v>
      </c>
      <c r="M7" s="10" t="s">
        <v>395</v>
      </c>
      <c r="N7" s="9" t="s">
        <v>362</v>
      </c>
      <c r="O7" s="9" t="s">
        <v>396</v>
      </c>
      <c r="P7" s="9" t="s">
        <v>397</v>
      </c>
      <c r="Q7" s="10" t="s">
        <v>398</v>
      </c>
      <c r="R7" s="9" t="s">
        <v>399</v>
      </c>
      <c r="S7" s="9" t="s">
        <v>351</v>
      </c>
      <c r="T7" s="10" t="s">
        <v>400</v>
      </c>
      <c r="U7" s="10" t="s">
        <v>401</v>
      </c>
      <c r="V7" s="9" t="s">
        <v>354</v>
      </c>
      <c r="W7" s="9" t="s">
        <v>402</v>
      </c>
      <c r="X7" s="9" t="s">
        <v>356</v>
      </c>
      <c r="Y7" s="9" t="s">
        <v>357</v>
      </c>
      <c r="Z7" s="9" t="s">
        <v>30</v>
      </c>
      <c r="AA7" s="10"/>
      <c r="AB7" s="9" t="s">
        <v>379</v>
      </c>
      <c r="AC7" s="9" t="s">
        <v>11</v>
      </c>
      <c r="AD7" s="9" t="s">
        <v>11</v>
      </c>
      <c r="AE7" s="9" t="s">
        <v>359</v>
      </c>
      <c r="AF7" s="10"/>
      <c r="AG7" s="10"/>
      <c r="AH7" s="23" t="n">
        <f aca="false">IF(AND($Z7="CANCELLED",COUNTIFS('09_风险与决策'!$A$5:$A$100,$AG7,'09_风险与决策'!$B$5:$B$100,"Decision",'09_风险与决策'!$L$5:$L$100,"ACCEPTED")&gt;0),0,1)</f>
        <v>1</v>
      </c>
      <c r="AI7" s="10" t="s">
        <v>403</v>
      </c>
      <c r="AJ7" s="9" t="s">
        <v>404</v>
      </c>
    </row>
    <row r="8" customFormat="false" ht="52" hidden="false" customHeight="true" outlineLevel="0" collapsed="false">
      <c r="A8" s="9" t="s">
        <v>405</v>
      </c>
      <c r="B8" s="9" t="s">
        <v>385</v>
      </c>
      <c r="C8" s="9" t="s">
        <v>51</v>
      </c>
      <c r="D8" s="9" t="s">
        <v>406</v>
      </c>
      <c r="E8" s="10" t="s">
        <v>407</v>
      </c>
      <c r="F8" s="9" t="s">
        <v>408</v>
      </c>
      <c r="G8" s="10" t="s">
        <v>409</v>
      </c>
      <c r="H8" s="9" t="s">
        <v>410</v>
      </c>
      <c r="I8" s="9" t="s">
        <v>411</v>
      </c>
      <c r="J8" s="10" t="s">
        <v>412</v>
      </c>
      <c r="K8" s="9" t="s">
        <v>413</v>
      </c>
      <c r="L8" s="10" t="s">
        <v>414</v>
      </c>
      <c r="M8" s="9" t="s">
        <v>415</v>
      </c>
      <c r="N8" s="9" t="s">
        <v>385</v>
      </c>
      <c r="O8" s="9" t="s">
        <v>416</v>
      </c>
      <c r="P8" s="10" t="s">
        <v>417</v>
      </c>
      <c r="Q8" s="9" t="s">
        <v>418</v>
      </c>
      <c r="R8" s="9" t="s">
        <v>419</v>
      </c>
      <c r="S8" s="9" t="s">
        <v>351</v>
      </c>
      <c r="T8" s="10" t="s">
        <v>420</v>
      </c>
      <c r="U8" s="10" t="s">
        <v>421</v>
      </c>
      <c r="V8" s="9" t="s">
        <v>354</v>
      </c>
      <c r="W8" s="9" t="s">
        <v>422</v>
      </c>
      <c r="X8" s="9" t="s">
        <v>356</v>
      </c>
      <c r="Y8" s="9" t="s">
        <v>423</v>
      </c>
      <c r="Z8" s="9" t="s">
        <v>30</v>
      </c>
      <c r="AA8" s="10"/>
      <c r="AB8" s="9" t="s">
        <v>379</v>
      </c>
      <c r="AC8" s="9" t="s">
        <v>11</v>
      </c>
      <c r="AD8" s="9" t="s">
        <v>11</v>
      </c>
      <c r="AE8" s="9" t="s">
        <v>359</v>
      </c>
      <c r="AF8" s="10"/>
      <c r="AG8" s="10"/>
      <c r="AH8" s="23" t="n">
        <f aca="false">IF(AND($Z8="CANCELLED",COUNTIFS('09_风险与决策'!$A$5:$A$100,$AG8,'09_风险与决策'!$B$5:$B$100,"Decision",'09_风险与决策'!$L$5:$L$100,"ACCEPTED")&gt;0),0,1)</f>
        <v>1</v>
      </c>
      <c r="AI8" s="9" t="s">
        <v>424</v>
      </c>
      <c r="AJ8" s="9" t="s">
        <v>404</v>
      </c>
    </row>
    <row r="9" customFormat="false" ht="52" hidden="false" customHeight="true" outlineLevel="0" collapsed="false">
      <c r="A9" s="9" t="s">
        <v>425</v>
      </c>
      <c r="B9" s="9" t="s">
        <v>426</v>
      </c>
      <c r="C9" s="9" t="s">
        <v>426</v>
      </c>
      <c r="D9" s="10" t="s">
        <v>427</v>
      </c>
      <c r="E9" s="10" t="s">
        <v>428</v>
      </c>
      <c r="F9" s="9" t="s">
        <v>429</v>
      </c>
      <c r="G9" s="10" t="s">
        <v>430</v>
      </c>
      <c r="H9" s="9" t="s">
        <v>431</v>
      </c>
      <c r="I9" s="10" t="s">
        <v>432</v>
      </c>
      <c r="J9" s="10" t="s">
        <v>433</v>
      </c>
      <c r="K9" s="9" t="s">
        <v>434</v>
      </c>
      <c r="L9" s="9" t="s">
        <v>435</v>
      </c>
      <c r="M9" s="10" t="s">
        <v>436</v>
      </c>
      <c r="N9" s="10"/>
      <c r="O9" s="9" t="s">
        <v>437</v>
      </c>
      <c r="P9" s="9" t="s">
        <v>438</v>
      </c>
      <c r="Q9" s="10" t="s">
        <v>439</v>
      </c>
      <c r="R9" s="9" t="s">
        <v>440</v>
      </c>
      <c r="S9" s="9" t="s">
        <v>351</v>
      </c>
      <c r="T9" s="10" t="s">
        <v>441</v>
      </c>
      <c r="U9" s="10" t="s">
        <v>442</v>
      </c>
      <c r="V9" s="9" t="s">
        <v>354</v>
      </c>
      <c r="W9" s="9" t="s">
        <v>378</v>
      </c>
      <c r="X9" s="9" t="s">
        <v>356</v>
      </c>
      <c r="Y9" s="9" t="s">
        <v>357</v>
      </c>
      <c r="Z9" s="9" t="s">
        <v>30</v>
      </c>
      <c r="AA9" s="9" t="s">
        <v>379</v>
      </c>
      <c r="AB9" s="9" t="s">
        <v>379</v>
      </c>
      <c r="AC9" s="9" t="s">
        <v>380</v>
      </c>
      <c r="AD9" s="9" t="s">
        <v>380</v>
      </c>
      <c r="AE9" s="9" t="s">
        <v>443</v>
      </c>
      <c r="AF9" s="9" t="s">
        <v>444</v>
      </c>
      <c r="AG9" s="10"/>
      <c r="AH9" s="23" t="n">
        <f aca="false">IF(AND($Z9="CANCELLED",COUNTIFS('09_风险与决策'!$A$5:$A$100,$AG9,'09_风险与决策'!$B$5:$B$100,"Decision",'09_风险与决策'!$L$5:$L$100,"ACCEPTED")&gt;0),0,1)</f>
        <v>1</v>
      </c>
      <c r="AI9" s="10" t="s">
        <v>445</v>
      </c>
      <c r="AJ9" s="10"/>
    </row>
    <row r="10" customFormat="false" ht="52" hidden="false" customHeight="true" outlineLevel="0" collapsed="false">
      <c r="A10" s="9" t="s">
        <v>446</v>
      </c>
      <c r="B10" s="9" t="s">
        <v>447</v>
      </c>
      <c r="C10" s="9" t="s">
        <v>53</v>
      </c>
      <c r="D10" s="9" t="s">
        <v>448</v>
      </c>
      <c r="E10" s="10" t="s">
        <v>449</v>
      </c>
      <c r="F10" s="9" t="s">
        <v>450</v>
      </c>
      <c r="G10" s="10" t="s">
        <v>451</v>
      </c>
      <c r="H10" s="9" t="s">
        <v>452</v>
      </c>
      <c r="I10" s="9" t="s">
        <v>453</v>
      </c>
      <c r="J10" s="10" t="s">
        <v>454</v>
      </c>
      <c r="K10" s="10" t="s">
        <v>455</v>
      </c>
      <c r="L10" s="9" t="s">
        <v>456</v>
      </c>
      <c r="M10" s="9" t="s">
        <v>453</v>
      </c>
      <c r="N10" s="9" t="s">
        <v>405</v>
      </c>
      <c r="O10" s="9" t="s">
        <v>457</v>
      </c>
      <c r="P10" s="9" t="s">
        <v>458</v>
      </c>
      <c r="Q10" s="10" t="s">
        <v>459</v>
      </c>
      <c r="R10" s="9" t="s">
        <v>460</v>
      </c>
      <c r="S10" s="9" t="s">
        <v>351</v>
      </c>
      <c r="T10" s="10" t="s">
        <v>461</v>
      </c>
      <c r="U10" s="10" t="s">
        <v>462</v>
      </c>
      <c r="V10" s="9" t="s">
        <v>354</v>
      </c>
      <c r="W10" s="9" t="s">
        <v>463</v>
      </c>
      <c r="X10" s="9" t="s">
        <v>356</v>
      </c>
      <c r="Y10" s="9" t="s">
        <v>357</v>
      </c>
      <c r="Z10" s="9" t="s">
        <v>23</v>
      </c>
      <c r="AA10" s="10"/>
      <c r="AB10" s="19" t="s">
        <v>379</v>
      </c>
      <c r="AC10" s="19" t="s">
        <v>11</v>
      </c>
      <c r="AD10" s="19" t="s">
        <v>11</v>
      </c>
      <c r="AE10" s="19" t="s">
        <v>464</v>
      </c>
      <c r="AF10" s="10"/>
      <c r="AG10" s="10"/>
      <c r="AH10" s="23" t="n">
        <f aca="false">IF(AND($Z10="CANCELLED",COUNTIFS('09_风险与决策'!$A$5:$A$100,$AG10,'09_风险与决策'!$B$5:$B$100,"Decision",'09_风险与决策'!$L$5:$L$100,"ACCEPTED")&gt;0),0,1)</f>
        <v>1</v>
      </c>
      <c r="AI10" s="9" t="s">
        <v>465</v>
      </c>
      <c r="AJ10" s="9" t="s">
        <v>466</v>
      </c>
    </row>
    <row r="11" customFormat="false" ht="52" hidden="false" customHeight="true" outlineLevel="0" collapsed="false">
      <c r="A11" s="9" t="s">
        <v>467</v>
      </c>
      <c r="B11" s="9" t="s">
        <v>447</v>
      </c>
      <c r="C11" s="9" t="s">
        <v>53</v>
      </c>
      <c r="D11" s="9" t="s">
        <v>448</v>
      </c>
      <c r="E11" s="10" t="s">
        <v>468</v>
      </c>
      <c r="F11" s="9" t="s">
        <v>469</v>
      </c>
      <c r="G11" s="10" t="s">
        <v>470</v>
      </c>
      <c r="H11" s="9" t="s">
        <v>452</v>
      </c>
      <c r="I11" s="10" t="s">
        <v>471</v>
      </c>
      <c r="J11" s="10" t="s">
        <v>454</v>
      </c>
      <c r="K11" s="10" t="s">
        <v>455</v>
      </c>
      <c r="L11" s="9" t="s">
        <v>456</v>
      </c>
      <c r="M11" s="10" t="s">
        <v>471</v>
      </c>
      <c r="N11" s="9" t="s">
        <v>446</v>
      </c>
      <c r="O11" s="9" t="s">
        <v>472</v>
      </c>
      <c r="P11" s="10" t="s">
        <v>473</v>
      </c>
      <c r="Q11" s="10" t="s">
        <v>459</v>
      </c>
      <c r="R11" s="9" t="s">
        <v>474</v>
      </c>
      <c r="S11" s="9" t="s">
        <v>351</v>
      </c>
      <c r="T11" s="10" t="s">
        <v>461</v>
      </c>
      <c r="U11" s="10" t="s">
        <v>462</v>
      </c>
      <c r="V11" s="9" t="s">
        <v>354</v>
      </c>
      <c r="W11" s="9" t="s">
        <v>475</v>
      </c>
      <c r="X11" s="9" t="s">
        <v>356</v>
      </c>
      <c r="Y11" s="9" t="s">
        <v>476</v>
      </c>
      <c r="Z11" s="9" t="s">
        <v>23</v>
      </c>
      <c r="AA11" s="10"/>
      <c r="AB11" s="19" t="s">
        <v>379</v>
      </c>
      <c r="AC11" s="19" t="s">
        <v>11</v>
      </c>
      <c r="AD11" s="19" t="s">
        <v>11</v>
      </c>
      <c r="AE11" s="19" t="s">
        <v>464</v>
      </c>
      <c r="AF11" s="10"/>
      <c r="AG11" s="10"/>
      <c r="AH11" s="23" t="n">
        <f aca="false">IF(AND($Z11="CANCELLED",COUNTIFS('09_风险与决策'!$A$5:$A$100,$AG11,'09_风险与决策'!$B$5:$B$100,"Decision",'09_风险与决策'!$L$5:$L$100,"ACCEPTED")&gt;0),0,1)</f>
        <v>1</v>
      </c>
      <c r="AI11" s="19" t="s">
        <v>477</v>
      </c>
      <c r="AJ11" s="9" t="s">
        <v>478</v>
      </c>
    </row>
    <row r="12" customFormat="false" ht="52" hidden="false" customHeight="true" outlineLevel="0" collapsed="false">
      <c r="A12" s="9" t="s">
        <v>479</v>
      </c>
      <c r="B12" s="9" t="s">
        <v>447</v>
      </c>
      <c r="C12" s="9" t="s">
        <v>53</v>
      </c>
      <c r="D12" s="9" t="s">
        <v>448</v>
      </c>
      <c r="E12" s="10" t="s">
        <v>480</v>
      </c>
      <c r="F12" s="9" t="s">
        <v>469</v>
      </c>
      <c r="G12" s="10" t="s">
        <v>481</v>
      </c>
      <c r="H12" s="9" t="s">
        <v>452</v>
      </c>
      <c r="I12" s="10" t="s">
        <v>482</v>
      </c>
      <c r="J12" s="10" t="s">
        <v>454</v>
      </c>
      <c r="K12" s="10" t="s">
        <v>455</v>
      </c>
      <c r="L12" s="9" t="s">
        <v>456</v>
      </c>
      <c r="M12" s="10" t="s">
        <v>482</v>
      </c>
      <c r="N12" s="9" t="s">
        <v>467</v>
      </c>
      <c r="O12" s="9" t="s">
        <v>472</v>
      </c>
      <c r="P12" s="10" t="s">
        <v>483</v>
      </c>
      <c r="Q12" s="10" t="s">
        <v>459</v>
      </c>
      <c r="R12" s="9" t="s">
        <v>484</v>
      </c>
      <c r="S12" s="9" t="s">
        <v>351</v>
      </c>
      <c r="T12" s="10" t="s">
        <v>461</v>
      </c>
      <c r="U12" s="10" t="s">
        <v>462</v>
      </c>
      <c r="V12" s="9" t="s">
        <v>354</v>
      </c>
      <c r="W12" s="9" t="s">
        <v>475</v>
      </c>
      <c r="X12" s="9" t="s">
        <v>356</v>
      </c>
      <c r="Y12" s="9" t="s">
        <v>357</v>
      </c>
      <c r="Z12" s="9" t="s">
        <v>23</v>
      </c>
      <c r="AA12" s="10"/>
      <c r="AB12" s="19" t="s">
        <v>379</v>
      </c>
      <c r="AC12" s="19" t="s">
        <v>11</v>
      </c>
      <c r="AD12" s="19" t="s">
        <v>11</v>
      </c>
      <c r="AE12" s="19" t="s">
        <v>464</v>
      </c>
      <c r="AF12" s="10"/>
      <c r="AG12" s="10"/>
      <c r="AH12" s="23" t="n">
        <f aca="false">IF(AND($Z12="CANCELLED",COUNTIFS('09_风险与决策'!$A$5:$A$100,$AG12,'09_风险与决策'!$B$5:$B$100,"Decision",'09_风险与决策'!$L$5:$L$100,"ACCEPTED")&gt;0),0,1)</f>
        <v>1</v>
      </c>
      <c r="AI12" s="19" t="s">
        <v>477</v>
      </c>
      <c r="AJ12" s="9" t="s">
        <v>478</v>
      </c>
    </row>
    <row r="13" customFormat="false" ht="52" hidden="false" customHeight="true" outlineLevel="0" collapsed="false">
      <c r="A13" s="9" t="s">
        <v>485</v>
      </c>
      <c r="B13" s="9" t="s">
        <v>447</v>
      </c>
      <c r="C13" s="9" t="s">
        <v>53</v>
      </c>
      <c r="D13" s="9" t="s">
        <v>448</v>
      </c>
      <c r="E13" s="10" t="s">
        <v>486</v>
      </c>
      <c r="F13" s="9" t="s">
        <v>469</v>
      </c>
      <c r="G13" s="10" t="s">
        <v>487</v>
      </c>
      <c r="H13" s="9" t="s">
        <v>452</v>
      </c>
      <c r="I13" s="10" t="s">
        <v>488</v>
      </c>
      <c r="J13" s="10" t="s">
        <v>454</v>
      </c>
      <c r="K13" s="10" t="s">
        <v>455</v>
      </c>
      <c r="L13" s="9" t="s">
        <v>456</v>
      </c>
      <c r="M13" s="10" t="s">
        <v>488</v>
      </c>
      <c r="N13" s="9" t="s">
        <v>467</v>
      </c>
      <c r="O13" s="9" t="s">
        <v>472</v>
      </c>
      <c r="P13" s="10" t="s">
        <v>489</v>
      </c>
      <c r="Q13" s="10" t="s">
        <v>459</v>
      </c>
      <c r="R13" s="9" t="s">
        <v>490</v>
      </c>
      <c r="S13" s="9" t="s">
        <v>351</v>
      </c>
      <c r="T13" s="10" t="s">
        <v>461</v>
      </c>
      <c r="U13" s="10" t="s">
        <v>462</v>
      </c>
      <c r="V13" s="9" t="s">
        <v>354</v>
      </c>
      <c r="W13" s="9" t="s">
        <v>475</v>
      </c>
      <c r="X13" s="9" t="s">
        <v>356</v>
      </c>
      <c r="Y13" s="9" t="s">
        <v>476</v>
      </c>
      <c r="Z13" s="9" t="s">
        <v>23</v>
      </c>
      <c r="AA13" s="10"/>
      <c r="AB13" s="19" t="s">
        <v>379</v>
      </c>
      <c r="AC13" s="19" t="s">
        <v>11</v>
      </c>
      <c r="AD13" s="19" t="s">
        <v>11</v>
      </c>
      <c r="AE13" s="19" t="s">
        <v>464</v>
      </c>
      <c r="AF13" s="10"/>
      <c r="AG13" s="10"/>
      <c r="AH13" s="23" t="n">
        <f aca="false">IF(AND($Z13="CANCELLED",COUNTIFS('09_风险与决策'!$A$5:$A$100,$AG13,'09_风险与决策'!$B$5:$B$100,"Decision",'09_风险与决策'!$L$5:$L$100,"ACCEPTED")&gt;0),0,1)</f>
        <v>1</v>
      </c>
      <c r="AI13" s="19" t="s">
        <v>477</v>
      </c>
      <c r="AJ13" s="9" t="s">
        <v>478</v>
      </c>
    </row>
    <row r="14" customFormat="false" ht="52" hidden="false" customHeight="true" outlineLevel="0" collapsed="false">
      <c r="A14" s="9" t="s">
        <v>491</v>
      </c>
      <c r="B14" s="9" t="s">
        <v>447</v>
      </c>
      <c r="C14" s="9" t="s">
        <v>53</v>
      </c>
      <c r="D14" s="9" t="s">
        <v>448</v>
      </c>
      <c r="E14" s="10" t="s">
        <v>492</v>
      </c>
      <c r="F14" s="9" t="s">
        <v>429</v>
      </c>
      <c r="G14" s="10" t="s">
        <v>493</v>
      </c>
      <c r="H14" s="9" t="s">
        <v>452</v>
      </c>
      <c r="I14" s="9" t="s">
        <v>494</v>
      </c>
      <c r="J14" s="10" t="s">
        <v>454</v>
      </c>
      <c r="K14" s="10" t="s">
        <v>455</v>
      </c>
      <c r="L14" s="9" t="s">
        <v>456</v>
      </c>
      <c r="M14" s="9" t="s">
        <v>494</v>
      </c>
      <c r="N14" s="9" t="s">
        <v>446</v>
      </c>
      <c r="O14" s="9" t="s">
        <v>472</v>
      </c>
      <c r="P14" s="9" t="s">
        <v>495</v>
      </c>
      <c r="Q14" s="10" t="s">
        <v>459</v>
      </c>
      <c r="R14" s="9" t="s">
        <v>496</v>
      </c>
      <c r="S14" s="9" t="s">
        <v>351</v>
      </c>
      <c r="T14" s="10" t="s">
        <v>461</v>
      </c>
      <c r="U14" s="10" t="s">
        <v>462</v>
      </c>
      <c r="V14" s="9" t="s">
        <v>354</v>
      </c>
      <c r="W14" s="9" t="s">
        <v>463</v>
      </c>
      <c r="X14" s="9" t="s">
        <v>497</v>
      </c>
      <c r="Y14" s="9" t="s">
        <v>423</v>
      </c>
      <c r="Z14" s="9" t="s">
        <v>23</v>
      </c>
      <c r="AA14" s="10"/>
      <c r="AB14" s="19" t="s">
        <v>379</v>
      </c>
      <c r="AC14" s="19" t="s">
        <v>11</v>
      </c>
      <c r="AD14" s="19" t="s">
        <v>11</v>
      </c>
      <c r="AE14" s="19" t="s">
        <v>464</v>
      </c>
      <c r="AF14" s="10"/>
      <c r="AG14" s="10"/>
      <c r="AH14" s="23" t="n">
        <f aca="false">IF(AND($Z14="CANCELLED",COUNTIFS('09_风险与决策'!$A$5:$A$100,$AG14,'09_风险与决策'!$B$5:$B$100,"Decision",'09_风险与决策'!$L$5:$L$100,"ACCEPTED")&gt;0),0,1)</f>
        <v>1</v>
      </c>
      <c r="AI14" s="19" t="s">
        <v>477</v>
      </c>
      <c r="AJ14" s="9" t="s">
        <v>478</v>
      </c>
    </row>
    <row r="15" customFormat="false" ht="52" hidden="false" customHeight="true" outlineLevel="0" collapsed="false">
      <c r="A15" s="9" t="s">
        <v>498</v>
      </c>
      <c r="B15" s="9" t="s">
        <v>499</v>
      </c>
      <c r="C15" s="9" t="s">
        <v>53</v>
      </c>
      <c r="D15" s="9" t="s">
        <v>500</v>
      </c>
      <c r="E15" s="10" t="s">
        <v>501</v>
      </c>
      <c r="F15" s="9" t="s">
        <v>339</v>
      </c>
      <c r="G15" s="10" t="s">
        <v>502</v>
      </c>
      <c r="H15" s="9" t="s">
        <v>452</v>
      </c>
      <c r="I15" s="10" t="s">
        <v>503</v>
      </c>
      <c r="J15" s="10" t="s">
        <v>454</v>
      </c>
      <c r="K15" s="10" t="s">
        <v>455</v>
      </c>
      <c r="L15" s="9" t="s">
        <v>456</v>
      </c>
      <c r="M15" s="10" t="s">
        <v>503</v>
      </c>
      <c r="N15" s="9" t="s">
        <v>479</v>
      </c>
      <c r="O15" s="9" t="s">
        <v>504</v>
      </c>
      <c r="P15" s="10" t="s">
        <v>505</v>
      </c>
      <c r="Q15" s="10" t="s">
        <v>459</v>
      </c>
      <c r="R15" s="9" t="s">
        <v>506</v>
      </c>
      <c r="S15" s="9" t="s">
        <v>351</v>
      </c>
      <c r="T15" s="10" t="s">
        <v>461</v>
      </c>
      <c r="U15" s="10" t="s">
        <v>462</v>
      </c>
      <c r="V15" s="9" t="s">
        <v>354</v>
      </c>
      <c r="W15" s="9" t="s">
        <v>463</v>
      </c>
      <c r="X15" s="9" t="s">
        <v>497</v>
      </c>
      <c r="Y15" s="9" t="s">
        <v>423</v>
      </c>
      <c r="Z15" s="9" t="s">
        <v>23</v>
      </c>
      <c r="AA15" s="10"/>
      <c r="AB15" s="19" t="s">
        <v>379</v>
      </c>
      <c r="AC15" s="19" t="s">
        <v>11</v>
      </c>
      <c r="AD15" s="19" t="s">
        <v>11</v>
      </c>
      <c r="AE15" s="19" t="s">
        <v>507</v>
      </c>
      <c r="AF15" s="10"/>
      <c r="AG15" s="10"/>
      <c r="AH15" s="23" t="n">
        <f aca="false">IF(AND($Z15="CANCELLED",COUNTIFS('09_风险与决策'!$A$5:$A$100,$AG15,'09_风险与决策'!$B$5:$B$100,"Decision",'09_风险与决策'!$L$5:$L$100,"ACCEPTED")&gt;0),0,1)</f>
        <v>1</v>
      </c>
      <c r="AI15" s="10" t="s">
        <v>508</v>
      </c>
      <c r="AJ15" s="9" t="s">
        <v>509</v>
      </c>
    </row>
    <row r="16" customFormat="false" ht="52" hidden="false" customHeight="true" outlineLevel="0" collapsed="false">
      <c r="A16" s="9" t="s">
        <v>510</v>
      </c>
      <c r="B16" s="9" t="s">
        <v>499</v>
      </c>
      <c r="C16" s="9" t="s">
        <v>53</v>
      </c>
      <c r="D16" s="9" t="s">
        <v>500</v>
      </c>
      <c r="E16" s="10" t="s">
        <v>511</v>
      </c>
      <c r="F16" s="9" t="s">
        <v>339</v>
      </c>
      <c r="G16" s="10" t="s">
        <v>512</v>
      </c>
      <c r="H16" s="9" t="s">
        <v>452</v>
      </c>
      <c r="I16" s="10" t="s">
        <v>513</v>
      </c>
      <c r="J16" s="10" t="s">
        <v>454</v>
      </c>
      <c r="K16" s="10" t="s">
        <v>455</v>
      </c>
      <c r="L16" s="9" t="s">
        <v>456</v>
      </c>
      <c r="M16" s="10" t="s">
        <v>513</v>
      </c>
      <c r="N16" s="9" t="s">
        <v>514</v>
      </c>
      <c r="O16" s="9" t="s">
        <v>504</v>
      </c>
      <c r="P16" s="10" t="s">
        <v>515</v>
      </c>
      <c r="Q16" s="10" t="s">
        <v>459</v>
      </c>
      <c r="R16" s="9" t="s">
        <v>516</v>
      </c>
      <c r="S16" s="9" t="s">
        <v>351</v>
      </c>
      <c r="T16" s="10" t="s">
        <v>461</v>
      </c>
      <c r="U16" s="10" t="s">
        <v>462</v>
      </c>
      <c r="V16" s="9" t="s">
        <v>354</v>
      </c>
      <c r="W16" s="9" t="s">
        <v>463</v>
      </c>
      <c r="X16" s="9" t="s">
        <v>356</v>
      </c>
      <c r="Y16" s="9" t="s">
        <v>476</v>
      </c>
      <c r="Z16" s="9" t="s">
        <v>23</v>
      </c>
      <c r="AA16" s="10"/>
      <c r="AB16" s="19" t="s">
        <v>379</v>
      </c>
      <c r="AC16" s="19" t="s">
        <v>11</v>
      </c>
      <c r="AD16" s="19" t="s">
        <v>11</v>
      </c>
      <c r="AE16" s="19" t="s">
        <v>507</v>
      </c>
      <c r="AF16" s="10"/>
      <c r="AG16" s="10"/>
      <c r="AH16" s="23" t="n">
        <f aca="false">IF(AND($Z16="CANCELLED",COUNTIFS('09_风险与决策'!$A$5:$A$100,$AG16,'09_风险与决策'!$B$5:$B$100,"Decision",'09_风险与决策'!$L$5:$L$100,"ACCEPTED")&gt;0),0,1)</f>
        <v>1</v>
      </c>
      <c r="AI16" s="10" t="s">
        <v>508</v>
      </c>
      <c r="AJ16" s="9" t="s">
        <v>509</v>
      </c>
    </row>
    <row r="17" customFormat="false" ht="52" hidden="false" customHeight="true" outlineLevel="0" collapsed="false">
      <c r="A17" s="9" t="s">
        <v>517</v>
      </c>
      <c r="B17" s="9" t="s">
        <v>499</v>
      </c>
      <c r="C17" s="9" t="s">
        <v>53</v>
      </c>
      <c r="D17" s="9" t="s">
        <v>500</v>
      </c>
      <c r="E17" s="10" t="s">
        <v>518</v>
      </c>
      <c r="F17" s="9" t="s">
        <v>469</v>
      </c>
      <c r="G17" s="10" t="s">
        <v>519</v>
      </c>
      <c r="H17" s="9" t="s">
        <v>452</v>
      </c>
      <c r="I17" s="10" t="s">
        <v>520</v>
      </c>
      <c r="J17" s="10" t="s">
        <v>454</v>
      </c>
      <c r="K17" s="10" t="s">
        <v>455</v>
      </c>
      <c r="L17" s="9" t="s">
        <v>456</v>
      </c>
      <c r="M17" s="10" t="s">
        <v>520</v>
      </c>
      <c r="N17" s="9" t="s">
        <v>467</v>
      </c>
      <c r="O17" s="9" t="s">
        <v>472</v>
      </c>
      <c r="P17" s="10" t="s">
        <v>521</v>
      </c>
      <c r="Q17" s="10" t="s">
        <v>459</v>
      </c>
      <c r="R17" s="9" t="s">
        <v>522</v>
      </c>
      <c r="S17" s="9" t="s">
        <v>351</v>
      </c>
      <c r="T17" s="10" t="s">
        <v>461</v>
      </c>
      <c r="U17" s="10" t="s">
        <v>462</v>
      </c>
      <c r="V17" s="9" t="s">
        <v>354</v>
      </c>
      <c r="W17" s="9" t="s">
        <v>475</v>
      </c>
      <c r="X17" s="9" t="s">
        <v>497</v>
      </c>
      <c r="Y17" s="9" t="s">
        <v>357</v>
      </c>
      <c r="Z17" s="9" t="s">
        <v>23</v>
      </c>
      <c r="AA17" s="10"/>
      <c r="AB17" s="19" t="s">
        <v>379</v>
      </c>
      <c r="AC17" s="19" t="s">
        <v>11</v>
      </c>
      <c r="AD17" s="19" t="s">
        <v>11</v>
      </c>
      <c r="AE17" s="19" t="s">
        <v>507</v>
      </c>
      <c r="AF17" s="10"/>
      <c r="AG17" s="10"/>
      <c r="AH17" s="23" t="n">
        <f aca="false">IF(AND($Z17="CANCELLED",COUNTIFS('09_风险与决策'!$A$5:$A$100,$AG17,'09_风险与决策'!$B$5:$B$100,"Decision",'09_风险与决策'!$L$5:$L$100,"ACCEPTED")&gt;0),0,1)</f>
        <v>1</v>
      </c>
      <c r="AI17" s="10" t="s">
        <v>508</v>
      </c>
      <c r="AJ17" s="9" t="s">
        <v>523</v>
      </c>
    </row>
    <row r="18" customFormat="false" ht="52" hidden="false" customHeight="true" outlineLevel="0" collapsed="false">
      <c r="A18" s="9" t="s">
        <v>524</v>
      </c>
      <c r="B18" s="9" t="s">
        <v>499</v>
      </c>
      <c r="C18" s="9" t="s">
        <v>53</v>
      </c>
      <c r="D18" s="9" t="s">
        <v>500</v>
      </c>
      <c r="E18" s="10" t="s">
        <v>525</v>
      </c>
      <c r="F18" s="9" t="s">
        <v>339</v>
      </c>
      <c r="G18" s="10" t="s">
        <v>526</v>
      </c>
      <c r="H18" s="9" t="s">
        <v>452</v>
      </c>
      <c r="I18" s="10" t="s">
        <v>527</v>
      </c>
      <c r="J18" s="10" t="s">
        <v>454</v>
      </c>
      <c r="K18" s="10" t="s">
        <v>455</v>
      </c>
      <c r="L18" s="9" t="s">
        <v>456</v>
      </c>
      <c r="M18" s="10" t="s">
        <v>527</v>
      </c>
      <c r="N18" s="9" t="s">
        <v>528</v>
      </c>
      <c r="O18" s="9" t="s">
        <v>504</v>
      </c>
      <c r="P18" s="10" t="s">
        <v>529</v>
      </c>
      <c r="Q18" s="10" t="s">
        <v>459</v>
      </c>
      <c r="R18" s="9" t="s">
        <v>530</v>
      </c>
      <c r="S18" s="9" t="s">
        <v>351</v>
      </c>
      <c r="T18" s="10" t="s">
        <v>461</v>
      </c>
      <c r="U18" s="10" t="s">
        <v>462</v>
      </c>
      <c r="V18" s="9" t="s">
        <v>354</v>
      </c>
      <c r="W18" s="9" t="s">
        <v>463</v>
      </c>
      <c r="X18" s="9" t="s">
        <v>356</v>
      </c>
      <c r="Y18" s="9" t="s">
        <v>357</v>
      </c>
      <c r="Z18" s="9" t="s">
        <v>23</v>
      </c>
      <c r="AA18" s="10"/>
      <c r="AB18" s="19" t="s">
        <v>379</v>
      </c>
      <c r="AC18" s="19" t="s">
        <v>11</v>
      </c>
      <c r="AD18" s="19" t="s">
        <v>11</v>
      </c>
      <c r="AE18" s="19" t="s">
        <v>507</v>
      </c>
      <c r="AF18" s="10"/>
      <c r="AG18" s="10"/>
      <c r="AH18" s="23" t="n">
        <f aca="false">IF(AND($Z18="CANCELLED",COUNTIFS('09_风险与决策'!$A$5:$A$100,$AG18,'09_风险与决策'!$B$5:$B$100,"Decision",'09_风险与决策'!$L$5:$L$100,"ACCEPTED")&gt;0),0,1)</f>
        <v>1</v>
      </c>
      <c r="AI18" s="10" t="s">
        <v>508</v>
      </c>
      <c r="AJ18" s="9" t="s">
        <v>509</v>
      </c>
    </row>
    <row r="19" customFormat="false" ht="52" hidden="false" customHeight="true" outlineLevel="0" collapsed="false">
      <c r="A19" s="9" t="s">
        <v>531</v>
      </c>
      <c r="B19" s="9" t="s">
        <v>499</v>
      </c>
      <c r="C19" s="9" t="s">
        <v>53</v>
      </c>
      <c r="D19" s="9" t="s">
        <v>500</v>
      </c>
      <c r="E19" s="10" t="s">
        <v>532</v>
      </c>
      <c r="F19" s="9" t="s">
        <v>533</v>
      </c>
      <c r="G19" s="10" t="s">
        <v>534</v>
      </c>
      <c r="H19" s="9" t="s">
        <v>452</v>
      </c>
      <c r="I19" s="10" t="s">
        <v>535</v>
      </c>
      <c r="J19" s="10" t="s">
        <v>454</v>
      </c>
      <c r="K19" s="10" t="s">
        <v>455</v>
      </c>
      <c r="L19" s="9" t="s">
        <v>456</v>
      </c>
      <c r="M19" s="10" t="s">
        <v>535</v>
      </c>
      <c r="N19" s="9" t="s">
        <v>536</v>
      </c>
      <c r="O19" s="9" t="s">
        <v>504</v>
      </c>
      <c r="P19" s="10" t="s">
        <v>537</v>
      </c>
      <c r="Q19" s="10" t="s">
        <v>459</v>
      </c>
      <c r="R19" s="9" t="s">
        <v>538</v>
      </c>
      <c r="S19" s="9" t="s">
        <v>351</v>
      </c>
      <c r="T19" s="10" t="s">
        <v>461</v>
      </c>
      <c r="U19" s="10" t="s">
        <v>462</v>
      </c>
      <c r="V19" s="9" t="s">
        <v>354</v>
      </c>
      <c r="W19" s="9" t="s">
        <v>463</v>
      </c>
      <c r="X19" s="9" t="s">
        <v>356</v>
      </c>
      <c r="Y19" s="9" t="s">
        <v>357</v>
      </c>
      <c r="Z19" s="9" t="s">
        <v>23</v>
      </c>
      <c r="AA19" s="10"/>
      <c r="AB19" s="19" t="s">
        <v>379</v>
      </c>
      <c r="AC19" s="19" t="s">
        <v>11</v>
      </c>
      <c r="AD19" s="19" t="s">
        <v>11</v>
      </c>
      <c r="AE19" s="19" t="s">
        <v>507</v>
      </c>
      <c r="AF19" s="10"/>
      <c r="AG19" s="10"/>
      <c r="AH19" s="23" t="n">
        <f aca="false">IF(AND($Z19="CANCELLED",COUNTIFS('09_风险与决策'!$A$5:$A$100,$AG19,'09_风险与决策'!$B$5:$B$100,"Decision",'09_风险与决策'!$L$5:$L$100,"ACCEPTED")&gt;0),0,1)</f>
        <v>1</v>
      </c>
      <c r="AI19" s="10" t="s">
        <v>508</v>
      </c>
      <c r="AJ19" s="9" t="s">
        <v>509</v>
      </c>
    </row>
    <row r="20" customFormat="false" ht="52" hidden="false" customHeight="true" outlineLevel="0" collapsed="false">
      <c r="A20" s="9" t="s">
        <v>539</v>
      </c>
      <c r="B20" s="9" t="s">
        <v>499</v>
      </c>
      <c r="C20" s="9" t="s">
        <v>53</v>
      </c>
      <c r="D20" s="9" t="s">
        <v>500</v>
      </c>
      <c r="E20" s="10" t="s">
        <v>540</v>
      </c>
      <c r="F20" s="9" t="s">
        <v>541</v>
      </c>
      <c r="G20" s="9" t="s">
        <v>542</v>
      </c>
      <c r="H20" s="9" t="s">
        <v>452</v>
      </c>
      <c r="I20" s="10" t="s">
        <v>543</v>
      </c>
      <c r="J20" s="10" t="s">
        <v>454</v>
      </c>
      <c r="K20" s="10" t="s">
        <v>455</v>
      </c>
      <c r="L20" s="9" t="s">
        <v>456</v>
      </c>
      <c r="M20" s="10" t="s">
        <v>543</v>
      </c>
      <c r="N20" s="9" t="s">
        <v>510</v>
      </c>
      <c r="O20" s="9" t="s">
        <v>504</v>
      </c>
      <c r="P20" s="10" t="s">
        <v>544</v>
      </c>
      <c r="Q20" s="10" t="s">
        <v>459</v>
      </c>
      <c r="R20" s="9" t="s">
        <v>545</v>
      </c>
      <c r="S20" s="9" t="s">
        <v>351</v>
      </c>
      <c r="T20" s="10" t="s">
        <v>461</v>
      </c>
      <c r="U20" s="10" t="s">
        <v>462</v>
      </c>
      <c r="V20" s="9" t="s">
        <v>354</v>
      </c>
      <c r="W20" s="9" t="s">
        <v>463</v>
      </c>
      <c r="X20" s="9" t="s">
        <v>497</v>
      </c>
      <c r="Y20" s="9" t="s">
        <v>357</v>
      </c>
      <c r="Z20" s="9" t="s">
        <v>23</v>
      </c>
      <c r="AA20" s="10"/>
      <c r="AB20" s="19" t="s">
        <v>379</v>
      </c>
      <c r="AC20" s="19" t="s">
        <v>11</v>
      </c>
      <c r="AD20" s="19" t="s">
        <v>11</v>
      </c>
      <c r="AE20" s="19" t="s">
        <v>507</v>
      </c>
      <c r="AF20" s="10"/>
      <c r="AG20" s="10"/>
      <c r="AH20" s="23" t="n">
        <f aca="false">IF(AND($Z20="CANCELLED",COUNTIFS('09_风险与决策'!$A$5:$A$100,$AG20,'09_风险与决策'!$B$5:$B$100,"Decision",'09_风险与决策'!$L$5:$L$100,"ACCEPTED")&gt;0),0,1)</f>
        <v>1</v>
      </c>
      <c r="AI20" s="10" t="s">
        <v>508</v>
      </c>
      <c r="AJ20" s="9" t="s">
        <v>509</v>
      </c>
    </row>
    <row r="21" customFormat="false" ht="52" hidden="false" customHeight="true" outlineLevel="0" collapsed="false">
      <c r="A21" s="9" t="s">
        <v>546</v>
      </c>
      <c r="B21" s="9" t="s">
        <v>547</v>
      </c>
      <c r="C21" s="9" t="s">
        <v>53</v>
      </c>
      <c r="D21" s="9" t="s">
        <v>548</v>
      </c>
      <c r="E21" s="10" t="s">
        <v>549</v>
      </c>
      <c r="F21" s="9" t="s">
        <v>469</v>
      </c>
      <c r="G21" s="10" t="s">
        <v>550</v>
      </c>
      <c r="H21" s="9" t="s">
        <v>452</v>
      </c>
      <c r="I21" s="9" t="s">
        <v>551</v>
      </c>
      <c r="J21" s="10" t="s">
        <v>454</v>
      </c>
      <c r="K21" s="10" t="s">
        <v>455</v>
      </c>
      <c r="L21" s="9" t="s">
        <v>456</v>
      </c>
      <c r="M21" s="9" t="s">
        <v>551</v>
      </c>
      <c r="N21" s="9" t="s">
        <v>552</v>
      </c>
      <c r="O21" s="9" t="s">
        <v>472</v>
      </c>
      <c r="P21" s="9" t="s">
        <v>553</v>
      </c>
      <c r="Q21" s="10" t="s">
        <v>459</v>
      </c>
      <c r="R21" s="9" t="s">
        <v>554</v>
      </c>
      <c r="S21" s="9" t="s">
        <v>351</v>
      </c>
      <c r="T21" s="10" t="s">
        <v>461</v>
      </c>
      <c r="U21" s="10" t="s">
        <v>462</v>
      </c>
      <c r="V21" s="9" t="s">
        <v>354</v>
      </c>
      <c r="W21" s="9" t="s">
        <v>475</v>
      </c>
      <c r="X21" s="9" t="s">
        <v>356</v>
      </c>
      <c r="Y21" s="9" t="s">
        <v>357</v>
      </c>
      <c r="Z21" s="9" t="s">
        <v>7</v>
      </c>
      <c r="AA21" s="10"/>
      <c r="AB21" s="10"/>
      <c r="AC21" s="10"/>
      <c r="AD21" s="10"/>
      <c r="AE21" s="10"/>
      <c r="AF21" s="10"/>
      <c r="AG21" s="10"/>
      <c r="AH21" s="23" t="n">
        <f aca="false">IF(AND($Z21="CANCELLED",COUNTIFS('09_风险与决策'!$A$5:$A$100,$AG21,'09_风险与决策'!$B$5:$B$100,"Decision",'09_风险与决策'!$L$5:$L$100,"ACCEPTED")&gt;0),0,1)</f>
        <v>1</v>
      </c>
      <c r="AI21" s="10"/>
      <c r="AJ21" s="9" t="s">
        <v>478</v>
      </c>
    </row>
    <row r="22" customFormat="false" ht="52" hidden="false" customHeight="true" outlineLevel="0" collapsed="false">
      <c r="A22" s="9" t="s">
        <v>555</v>
      </c>
      <c r="B22" s="9" t="s">
        <v>547</v>
      </c>
      <c r="C22" s="9" t="s">
        <v>53</v>
      </c>
      <c r="D22" s="9" t="s">
        <v>548</v>
      </c>
      <c r="E22" s="10" t="s">
        <v>556</v>
      </c>
      <c r="F22" s="9" t="s">
        <v>339</v>
      </c>
      <c r="G22" s="10" t="s">
        <v>557</v>
      </c>
      <c r="H22" s="9" t="s">
        <v>452</v>
      </c>
      <c r="I22" s="10" t="s">
        <v>558</v>
      </c>
      <c r="J22" s="10" t="s">
        <v>454</v>
      </c>
      <c r="K22" s="10" t="s">
        <v>455</v>
      </c>
      <c r="L22" s="9" t="s">
        <v>456</v>
      </c>
      <c r="M22" s="10" t="s">
        <v>558</v>
      </c>
      <c r="N22" s="9" t="s">
        <v>546</v>
      </c>
      <c r="O22" s="9" t="s">
        <v>504</v>
      </c>
      <c r="P22" s="10" t="s">
        <v>559</v>
      </c>
      <c r="Q22" s="10" t="s">
        <v>459</v>
      </c>
      <c r="R22" s="9" t="s">
        <v>560</v>
      </c>
      <c r="S22" s="9" t="s">
        <v>351</v>
      </c>
      <c r="T22" s="10" t="s">
        <v>461</v>
      </c>
      <c r="U22" s="10" t="s">
        <v>462</v>
      </c>
      <c r="V22" s="9" t="s">
        <v>354</v>
      </c>
      <c r="W22" s="9" t="s">
        <v>463</v>
      </c>
      <c r="X22" s="9" t="s">
        <v>356</v>
      </c>
      <c r="Y22" s="9" t="s">
        <v>357</v>
      </c>
      <c r="Z22" s="9" t="s">
        <v>7</v>
      </c>
      <c r="AA22" s="10"/>
      <c r="AB22" s="10"/>
      <c r="AC22" s="10"/>
      <c r="AD22" s="10"/>
      <c r="AE22" s="10"/>
      <c r="AF22" s="10"/>
      <c r="AG22" s="10"/>
      <c r="AH22" s="23" t="n">
        <f aca="false">IF(AND($Z22="CANCELLED",COUNTIFS('09_风险与决策'!$A$5:$A$100,$AG22,'09_风险与决策'!$B$5:$B$100,"Decision",'09_风险与决策'!$L$5:$L$100,"ACCEPTED")&gt;0),0,1)</f>
        <v>1</v>
      </c>
      <c r="AI22" s="10"/>
      <c r="AJ22" s="9" t="s">
        <v>509</v>
      </c>
    </row>
    <row r="23" customFormat="false" ht="52" hidden="false" customHeight="true" outlineLevel="0" collapsed="false">
      <c r="A23" s="9" t="s">
        <v>561</v>
      </c>
      <c r="B23" s="9" t="s">
        <v>547</v>
      </c>
      <c r="C23" s="9" t="s">
        <v>53</v>
      </c>
      <c r="D23" s="9" t="s">
        <v>548</v>
      </c>
      <c r="E23" s="10" t="s">
        <v>562</v>
      </c>
      <c r="F23" s="9" t="s">
        <v>339</v>
      </c>
      <c r="G23" s="10" t="s">
        <v>563</v>
      </c>
      <c r="H23" s="9" t="s">
        <v>452</v>
      </c>
      <c r="I23" s="10" t="s">
        <v>564</v>
      </c>
      <c r="J23" s="10" t="s">
        <v>454</v>
      </c>
      <c r="K23" s="10" t="s">
        <v>455</v>
      </c>
      <c r="L23" s="9" t="s">
        <v>456</v>
      </c>
      <c r="M23" s="10" t="s">
        <v>564</v>
      </c>
      <c r="N23" s="9" t="s">
        <v>555</v>
      </c>
      <c r="O23" s="9" t="s">
        <v>504</v>
      </c>
      <c r="P23" s="10" t="s">
        <v>565</v>
      </c>
      <c r="Q23" s="10" t="s">
        <v>459</v>
      </c>
      <c r="R23" s="9" t="s">
        <v>566</v>
      </c>
      <c r="S23" s="9" t="s">
        <v>351</v>
      </c>
      <c r="T23" s="10" t="s">
        <v>461</v>
      </c>
      <c r="U23" s="10" t="s">
        <v>462</v>
      </c>
      <c r="V23" s="9" t="s">
        <v>354</v>
      </c>
      <c r="W23" s="9" t="s">
        <v>463</v>
      </c>
      <c r="X23" s="9" t="s">
        <v>356</v>
      </c>
      <c r="Y23" s="9" t="s">
        <v>476</v>
      </c>
      <c r="Z23" s="9" t="s">
        <v>7</v>
      </c>
      <c r="AA23" s="10"/>
      <c r="AB23" s="10"/>
      <c r="AC23" s="10"/>
      <c r="AD23" s="10"/>
      <c r="AE23" s="10"/>
      <c r="AF23" s="10"/>
      <c r="AG23" s="10"/>
      <c r="AH23" s="23" t="n">
        <f aca="false">IF(AND($Z23="CANCELLED",COUNTIFS('09_风险与决策'!$A$5:$A$100,$AG23,'09_风险与决策'!$B$5:$B$100,"Decision",'09_风险与决策'!$L$5:$L$100,"ACCEPTED")&gt;0),0,1)</f>
        <v>1</v>
      </c>
      <c r="AI23" s="10"/>
      <c r="AJ23" s="9" t="s">
        <v>509</v>
      </c>
    </row>
    <row r="24" customFormat="false" ht="52" hidden="false" customHeight="true" outlineLevel="0" collapsed="false">
      <c r="A24" s="9" t="s">
        <v>567</v>
      </c>
      <c r="B24" s="9" t="s">
        <v>547</v>
      </c>
      <c r="C24" s="9" t="s">
        <v>53</v>
      </c>
      <c r="D24" s="9" t="s">
        <v>548</v>
      </c>
      <c r="E24" s="10" t="s">
        <v>568</v>
      </c>
      <c r="F24" s="9" t="s">
        <v>469</v>
      </c>
      <c r="G24" s="10" t="s">
        <v>569</v>
      </c>
      <c r="H24" s="9" t="s">
        <v>452</v>
      </c>
      <c r="I24" s="10" t="s">
        <v>570</v>
      </c>
      <c r="J24" s="10" t="s">
        <v>454</v>
      </c>
      <c r="K24" s="10" t="s">
        <v>455</v>
      </c>
      <c r="L24" s="9" t="s">
        <v>456</v>
      </c>
      <c r="M24" s="10" t="s">
        <v>570</v>
      </c>
      <c r="N24" s="9" t="s">
        <v>546</v>
      </c>
      <c r="O24" s="9" t="s">
        <v>472</v>
      </c>
      <c r="P24" s="10" t="s">
        <v>571</v>
      </c>
      <c r="Q24" s="10" t="s">
        <v>459</v>
      </c>
      <c r="R24" s="9" t="s">
        <v>572</v>
      </c>
      <c r="S24" s="9" t="s">
        <v>351</v>
      </c>
      <c r="T24" s="10" t="s">
        <v>461</v>
      </c>
      <c r="U24" s="10" t="s">
        <v>462</v>
      </c>
      <c r="V24" s="9" t="s">
        <v>354</v>
      </c>
      <c r="W24" s="9" t="s">
        <v>475</v>
      </c>
      <c r="X24" s="9" t="s">
        <v>356</v>
      </c>
      <c r="Y24" s="9" t="s">
        <v>357</v>
      </c>
      <c r="Z24" s="9" t="s">
        <v>7</v>
      </c>
      <c r="AA24" s="10"/>
      <c r="AB24" s="10"/>
      <c r="AC24" s="10"/>
      <c r="AD24" s="10"/>
      <c r="AE24" s="10"/>
      <c r="AF24" s="10"/>
      <c r="AG24" s="10"/>
      <c r="AH24" s="23" t="n">
        <f aca="false">IF(AND($Z24="CANCELLED",COUNTIFS('09_风险与决策'!$A$5:$A$100,$AG24,'09_风险与决策'!$B$5:$B$100,"Decision",'09_风险与决策'!$L$5:$L$100,"ACCEPTED")&gt;0),0,1)</f>
        <v>1</v>
      </c>
      <c r="AI24" s="10"/>
      <c r="AJ24" s="9" t="s">
        <v>523</v>
      </c>
    </row>
    <row r="25" customFormat="false" ht="52" hidden="false" customHeight="true" outlineLevel="0" collapsed="false">
      <c r="A25" s="9" t="s">
        <v>573</v>
      </c>
      <c r="B25" s="9" t="s">
        <v>547</v>
      </c>
      <c r="C25" s="9" t="s">
        <v>53</v>
      </c>
      <c r="D25" s="9" t="s">
        <v>548</v>
      </c>
      <c r="E25" s="10" t="s">
        <v>574</v>
      </c>
      <c r="F25" s="9" t="s">
        <v>339</v>
      </c>
      <c r="G25" s="10" t="s">
        <v>575</v>
      </c>
      <c r="H25" s="9" t="s">
        <v>452</v>
      </c>
      <c r="I25" s="10" t="s">
        <v>576</v>
      </c>
      <c r="J25" s="10" t="s">
        <v>454</v>
      </c>
      <c r="K25" s="10" t="s">
        <v>455</v>
      </c>
      <c r="L25" s="9" t="s">
        <v>456</v>
      </c>
      <c r="M25" s="10" t="s">
        <v>576</v>
      </c>
      <c r="N25" s="9" t="s">
        <v>577</v>
      </c>
      <c r="O25" s="9" t="s">
        <v>504</v>
      </c>
      <c r="P25" s="10" t="s">
        <v>578</v>
      </c>
      <c r="Q25" s="10" t="s">
        <v>459</v>
      </c>
      <c r="R25" s="9" t="s">
        <v>579</v>
      </c>
      <c r="S25" s="9" t="s">
        <v>351</v>
      </c>
      <c r="T25" s="10" t="s">
        <v>461</v>
      </c>
      <c r="U25" s="10" t="s">
        <v>462</v>
      </c>
      <c r="V25" s="9" t="s">
        <v>354</v>
      </c>
      <c r="W25" s="9" t="s">
        <v>463</v>
      </c>
      <c r="X25" s="9" t="s">
        <v>356</v>
      </c>
      <c r="Y25" s="9" t="s">
        <v>476</v>
      </c>
      <c r="Z25" s="9" t="s">
        <v>7</v>
      </c>
      <c r="AA25" s="10"/>
      <c r="AB25" s="10"/>
      <c r="AC25" s="10"/>
      <c r="AD25" s="10"/>
      <c r="AE25" s="10"/>
      <c r="AF25" s="10"/>
      <c r="AG25" s="10"/>
      <c r="AH25" s="23" t="n">
        <f aca="false">IF(AND($Z25="CANCELLED",COUNTIFS('09_风险与决策'!$A$5:$A$100,$AG25,'09_风险与决策'!$B$5:$B$100,"Decision",'09_风险与决策'!$L$5:$L$100,"ACCEPTED")&gt;0),0,1)</f>
        <v>1</v>
      </c>
      <c r="AI25" s="10"/>
      <c r="AJ25" s="9" t="s">
        <v>509</v>
      </c>
    </row>
    <row r="26" customFormat="false" ht="52" hidden="false" customHeight="true" outlineLevel="0" collapsed="false">
      <c r="A26" s="9" t="s">
        <v>580</v>
      </c>
      <c r="B26" s="9" t="s">
        <v>547</v>
      </c>
      <c r="C26" s="9" t="s">
        <v>53</v>
      </c>
      <c r="D26" s="9" t="s">
        <v>548</v>
      </c>
      <c r="E26" s="10" t="s">
        <v>581</v>
      </c>
      <c r="F26" s="9" t="s">
        <v>339</v>
      </c>
      <c r="G26" s="10" t="s">
        <v>582</v>
      </c>
      <c r="H26" s="9" t="s">
        <v>452</v>
      </c>
      <c r="I26" s="10" t="s">
        <v>583</v>
      </c>
      <c r="J26" s="10" t="s">
        <v>454</v>
      </c>
      <c r="K26" s="10" t="s">
        <v>455</v>
      </c>
      <c r="L26" s="9" t="s">
        <v>456</v>
      </c>
      <c r="M26" s="10" t="s">
        <v>583</v>
      </c>
      <c r="N26" s="9" t="s">
        <v>584</v>
      </c>
      <c r="O26" s="9" t="s">
        <v>504</v>
      </c>
      <c r="P26" s="10" t="s">
        <v>585</v>
      </c>
      <c r="Q26" s="10" t="s">
        <v>459</v>
      </c>
      <c r="R26" s="9" t="s">
        <v>586</v>
      </c>
      <c r="S26" s="9" t="s">
        <v>351</v>
      </c>
      <c r="T26" s="10" t="s">
        <v>461</v>
      </c>
      <c r="U26" s="10" t="s">
        <v>462</v>
      </c>
      <c r="V26" s="9" t="s">
        <v>354</v>
      </c>
      <c r="W26" s="9" t="s">
        <v>463</v>
      </c>
      <c r="X26" s="9" t="s">
        <v>497</v>
      </c>
      <c r="Y26" s="9" t="s">
        <v>357</v>
      </c>
      <c r="Z26" s="9" t="s">
        <v>7</v>
      </c>
      <c r="AA26" s="10"/>
      <c r="AB26" s="10"/>
      <c r="AC26" s="10"/>
      <c r="AD26" s="10"/>
      <c r="AE26" s="10"/>
      <c r="AF26" s="10"/>
      <c r="AG26" s="10"/>
      <c r="AH26" s="23" t="n">
        <f aca="false">IF(AND($Z26="CANCELLED",COUNTIFS('09_风险与决策'!$A$5:$A$100,$AG26,'09_风险与决策'!$B$5:$B$100,"Decision",'09_风险与决策'!$L$5:$L$100,"ACCEPTED")&gt;0),0,1)</f>
        <v>1</v>
      </c>
      <c r="AI26" s="10"/>
      <c r="AJ26" s="9" t="s">
        <v>509</v>
      </c>
    </row>
    <row r="27" customFormat="false" ht="52" hidden="false" customHeight="true" outlineLevel="0" collapsed="false">
      <c r="A27" s="9" t="s">
        <v>587</v>
      </c>
      <c r="B27" s="9" t="s">
        <v>547</v>
      </c>
      <c r="C27" s="9" t="s">
        <v>53</v>
      </c>
      <c r="D27" s="9" t="s">
        <v>548</v>
      </c>
      <c r="E27" s="10" t="s">
        <v>588</v>
      </c>
      <c r="F27" s="9" t="s">
        <v>533</v>
      </c>
      <c r="G27" s="10" t="s">
        <v>589</v>
      </c>
      <c r="H27" s="9" t="s">
        <v>452</v>
      </c>
      <c r="I27" s="10" t="s">
        <v>590</v>
      </c>
      <c r="J27" s="10" t="s">
        <v>454</v>
      </c>
      <c r="K27" s="10" t="s">
        <v>455</v>
      </c>
      <c r="L27" s="9" t="s">
        <v>456</v>
      </c>
      <c r="M27" s="10" t="s">
        <v>590</v>
      </c>
      <c r="N27" s="9" t="s">
        <v>591</v>
      </c>
      <c r="O27" s="9" t="s">
        <v>504</v>
      </c>
      <c r="P27" s="10" t="s">
        <v>592</v>
      </c>
      <c r="Q27" s="10" t="s">
        <v>459</v>
      </c>
      <c r="R27" s="9" t="s">
        <v>593</v>
      </c>
      <c r="S27" s="9" t="s">
        <v>351</v>
      </c>
      <c r="T27" s="10" t="s">
        <v>461</v>
      </c>
      <c r="U27" s="10" t="s">
        <v>462</v>
      </c>
      <c r="V27" s="9" t="s">
        <v>354</v>
      </c>
      <c r="W27" s="9" t="s">
        <v>463</v>
      </c>
      <c r="X27" s="9" t="s">
        <v>356</v>
      </c>
      <c r="Y27" s="9" t="s">
        <v>357</v>
      </c>
      <c r="Z27" s="9" t="s">
        <v>7</v>
      </c>
      <c r="AA27" s="10"/>
      <c r="AB27" s="10"/>
      <c r="AC27" s="10"/>
      <c r="AD27" s="10"/>
      <c r="AE27" s="10"/>
      <c r="AF27" s="10"/>
      <c r="AG27" s="10"/>
      <c r="AH27" s="23" t="n">
        <f aca="false">IF(AND($Z27="CANCELLED",COUNTIFS('09_风险与决策'!$A$5:$A$100,$AG27,'09_风险与决策'!$B$5:$B$100,"Decision",'09_风险与决策'!$L$5:$L$100,"ACCEPTED")&gt;0),0,1)</f>
        <v>1</v>
      </c>
      <c r="AI27" s="10"/>
      <c r="AJ27" s="9" t="s">
        <v>509</v>
      </c>
    </row>
    <row r="28" customFormat="false" ht="52" hidden="false" customHeight="true" outlineLevel="0" collapsed="false">
      <c r="A28" s="9" t="s">
        <v>594</v>
      </c>
      <c r="B28" s="9" t="s">
        <v>595</v>
      </c>
      <c r="C28" s="9" t="s">
        <v>53</v>
      </c>
      <c r="D28" s="9" t="s">
        <v>596</v>
      </c>
      <c r="E28" s="10" t="s">
        <v>597</v>
      </c>
      <c r="F28" s="9" t="s">
        <v>469</v>
      </c>
      <c r="G28" s="10" t="s">
        <v>598</v>
      </c>
      <c r="H28" s="9" t="s">
        <v>452</v>
      </c>
      <c r="I28" s="10" t="s">
        <v>599</v>
      </c>
      <c r="J28" s="10" t="s">
        <v>454</v>
      </c>
      <c r="K28" s="10" t="s">
        <v>455</v>
      </c>
      <c r="L28" s="9" t="s">
        <v>456</v>
      </c>
      <c r="M28" s="10" t="s">
        <v>599</v>
      </c>
      <c r="N28" s="9" t="s">
        <v>514</v>
      </c>
      <c r="O28" s="9" t="s">
        <v>472</v>
      </c>
      <c r="P28" s="10" t="s">
        <v>600</v>
      </c>
      <c r="Q28" s="10" t="s">
        <v>459</v>
      </c>
      <c r="R28" s="9" t="s">
        <v>601</v>
      </c>
      <c r="S28" s="9" t="s">
        <v>351</v>
      </c>
      <c r="T28" s="10" t="s">
        <v>461</v>
      </c>
      <c r="U28" s="10" t="s">
        <v>462</v>
      </c>
      <c r="V28" s="9" t="s">
        <v>354</v>
      </c>
      <c r="W28" s="9" t="s">
        <v>475</v>
      </c>
      <c r="X28" s="9" t="s">
        <v>356</v>
      </c>
      <c r="Y28" s="9" t="s">
        <v>476</v>
      </c>
      <c r="Z28" s="9" t="s">
        <v>7</v>
      </c>
      <c r="AA28" s="10"/>
      <c r="AB28" s="10"/>
      <c r="AC28" s="10"/>
      <c r="AD28" s="10"/>
      <c r="AE28" s="10"/>
      <c r="AF28" s="10"/>
      <c r="AG28" s="10"/>
      <c r="AH28" s="23" t="n">
        <f aca="false">IF(AND($Z28="CANCELLED",COUNTIFS('09_风险与决策'!$A$5:$A$100,$AG28,'09_风险与决策'!$B$5:$B$100,"Decision",'09_风险与决策'!$L$5:$L$100,"ACCEPTED")&gt;0),0,1)</f>
        <v>1</v>
      </c>
      <c r="AI28" s="10"/>
      <c r="AJ28" s="9" t="s">
        <v>478</v>
      </c>
    </row>
    <row r="29" customFormat="false" ht="52" hidden="false" customHeight="true" outlineLevel="0" collapsed="false">
      <c r="A29" s="9" t="s">
        <v>602</v>
      </c>
      <c r="B29" s="9" t="s">
        <v>595</v>
      </c>
      <c r="C29" s="9" t="s">
        <v>53</v>
      </c>
      <c r="D29" s="9" t="s">
        <v>596</v>
      </c>
      <c r="E29" s="10" t="s">
        <v>603</v>
      </c>
      <c r="F29" s="9" t="s">
        <v>541</v>
      </c>
      <c r="G29" s="9" t="s">
        <v>604</v>
      </c>
      <c r="H29" s="9" t="s">
        <v>452</v>
      </c>
      <c r="I29" s="10" t="s">
        <v>605</v>
      </c>
      <c r="J29" s="10" t="s">
        <v>454</v>
      </c>
      <c r="K29" s="10" t="s">
        <v>455</v>
      </c>
      <c r="L29" s="9" t="s">
        <v>456</v>
      </c>
      <c r="M29" s="10" t="s">
        <v>605</v>
      </c>
      <c r="N29" s="9" t="s">
        <v>606</v>
      </c>
      <c r="O29" s="9" t="s">
        <v>504</v>
      </c>
      <c r="P29" s="10" t="s">
        <v>607</v>
      </c>
      <c r="Q29" s="10" t="s">
        <v>459</v>
      </c>
      <c r="R29" s="9" t="s">
        <v>608</v>
      </c>
      <c r="S29" s="9" t="s">
        <v>351</v>
      </c>
      <c r="T29" s="10" t="s">
        <v>461</v>
      </c>
      <c r="U29" s="10" t="s">
        <v>462</v>
      </c>
      <c r="V29" s="9" t="s">
        <v>354</v>
      </c>
      <c r="W29" s="9" t="s">
        <v>463</v>
      </c>
      <c r="X29" s="9" t="s">
        <v>356</v>
      </c>
      <c r="Y29" s="9" t="s">
        <v>476</v>
      </c>
      <c r="Z29" s="9" t="s">
        <v>7</v>
      </c>
      <c r="AA29" s="10"/>
      <c r="AB29" s="10"/>
      <c r="AC29" s="10"/>
      <c r="AD29" s="10"/>
      <c r="AE29" s="10"/>
      <c r="AF29" s="10"/>
      <c r="AG29" s="10"/>
      <c r="AH29" s="23" t="n">
        <f aca="false">IF(AND($Z29="CANCELLED",COUNTIFS('09_风险与决策'!$A$5:$A$100,$AG29,'09_风险与决策'!$B$5:$B$100,"Decision",'09_风险与决策'!$L$5:$L$100,"ACCEPTED")&gt;0),0,1)</f>
        <v>1</v>
      </c>
      <c r="AI29" s="10"/>
      <c r="AJ29" s="9" t="s">
        <v>509</v>
      </c>
    </row>
    <row r="30" customFormat="false" ht="52" hidden="false" customHeight="true" outlineLevel="0" collapsed="false">
      <c r="A30" s="9" t="s">
        <v>609</v>
      </c>
      <c r="B30" s="9" t="s">
        <v>595</v>
      </c>
      <c r="C30" s="9" t="s">
        <v>53</v>
      </c>
      <c r="D30" s="9" t="s">
        <v>596</v>
      </c>
      <c r="E30" s="10" t="s">
        <v>610</v>
      </c>
      <c r="F30" s="9" t="s">
        <v>339</v>
      </c>
      <c r="G30" s="10" t="s">
        <v>611</v>
      </c>
      <c r="H30" s="9" t="s">
        <v>452</v>
      </c>
      <c r="I30" s="9" t="s">
        <v>612</v>
      </c>
      <c r="J30" s="10" t="s">
        <v>454</v>
      </c>
      <c r="K30" s="10" t="s">
        <v>455</v>
      </c>
      <c r="L30" s="9" t="s">
        <v>456</v>
      </c>
      <c r="M30" s="9" t="s">
        <v>612</v>
      </c>
      <c r="N30" s="9" t="s">
        <v>602</v>
      </c>
      <c r="O30" s="9" t="s">
        <v>504</v>
      </c>
      <c r="P30" s="9" t="s">
        <v>613</v>
      </c>
      <c r="Q30" s="10" t="s">
        <v>459</v>
      </c>
      <c r="R30" s="9" t="s">
        <v>614</v>
      </c>
      <c r="S30" s="9" t="s">
        <v>351</v>
      </c>
      <c r="T30" s="10" t="s">
        <v>461</v>
      </c>
      <c r="U30" s="10" t="s">
        <v>462</v>
      </c>
      <c r="V30" s="9" t="s">
        <v>354</v>
      </c>
      <c r="W30" s="9" t="s">
        <v>463</v>
      </c>
      <c r="X30" s="9" t="s">
        <v>356</v>
      </c>
      <c r="Y30" s="9" t="s">
        <v>476</v>
      </c>
      <c r="Z30" s="9" t="s">
        <v>7</v>
      </c>
      <c r="AA30" s="10"/>
      <c r="AB30" s="10"/>
      <c r="AC30" s="10"/>
      <c r="AD30" s="10"/>
      <c r="AE30" s="10"/>
      <c r="AF30" s="10"/>
      <c r="AG30" s="10"/>
      <c r="AH30" s="23" t="n">
        <f aca="false">IF(AND($Z30="CANCELLED",COUNTIFS('09_风险与决策'!$A$5:$A$100,$AG30,'09_风险与决策'!$B$5:$B$100,"Decision",'09_风险与决策'!$L$5:$L$100,"ACCEPTED")&gt;0),0,1)</f>
        <v>1</v>
      </c>
      <c r="AI30" s="10"/>
      <c r="AJ30" s="9" t="s">
        <v>509</v>
      </c>
    </row>
    <row r="31" customFormat="false" ht="52" hidden="false" customHeight="true" outlineLevel="0" collapsed="false">
      <c r="A31" s="9" t="s">
        <v>615</v>
      </c>
      <c r="B31" s="9" t="s">
        <v>595</v>
      </c>
      <c r="C31" s="9" t="s">
        <v>53</v>
      </c>
      <c r="D31" s="9" t="s">
        <v>596</v>
      </c>
      <c r="E31" s="10" t="s">
        <v>616</v>
      </c>
      <c r="F31" s="9" t="s">
        <v>339</v>
      </c>
      <c r="G31" s="9" t="s">
        <v>617</v>
      </c>
      <c r="H31" s="9" t="s">
        <v>452</v>
      </c>
      <c r="I31" s="9" t="s">
        <v>618</v>
      </c>
      <c r="J31" s="10" t="s">
        <v>454</v>
      </c>
      <c r="K31" s="10" t="s">
        <v>455</v>
      </c>
      <c r="L31" s="9" t="s">
        <v>456</v>
      </c>
      <c r="M31" s="9" t="s">
        <v>618</v>
      </c>
      <c r="N31" s="9" t="s">
        <v>609</v>
      </c>
      <c r="O31" s="9" t="s">
        <v>504</v>
      </c>
      <c r="P31" s="9" t="s">
        <v>619</v>
      </c>
      <c r="Q31" s="10" t="s">
        <v>459</v>
      </c>
      <c r="R31" s="9" t="s">
        <v>620</v>
      </c>
      <c r="S31" s="9" t="s">
        <v>351</v>
      </c>
      <c r="T31" s="10" t="s">
        <v>461</v>
      </c>
      <c r="U31" s="10" t="s">
        <v>462</v>
      </c>
      <c r="V31" s="9" t="s">
        <v>354</v>
      </c>
      <c r="W31" s="9" t="s">
        <v>463</v>
      </c>
      <c r="X31" s="9" t="s">
        <v>356</v>
      </c>
      <c r="Y31" s="9" t="s">
        <v>357</v>
      </c>
      <c r="Z31" s="9" t="s">
        <v>7</v>
      </c>
      <c r="AA31" s="10"/>
      <c r="AB31" s="10"/>
      <c r="AC31" s="10"/>
      <c r="AD31" s="10"/>
      <c r="AE31" s="10"/>
      <c r="AF31" s="10"/>
      <c r="AG31" s="10"/>
      <c r="AH31" s="23" t="n">
        <f aca="false">IF(AND($Z31="CANCELLED",COUNTIFS('09_风险与决策'!$A$5:$A$100,$AG31,'09_风险与决策'!$B$5:$B$100,"Decision",'09_风险与决策'!$L$5:$L$100,"ACCEPTED")&gt;0),0,1)</f>
        <v>1</v>
      </c>
      <c r="AI31" s="10"/>
      <c r="AJ31" s="9" t="s">
        <v>509</v>
      </c>
    </row>
    <row r="32" customFormat="false" ht="52" hidden="false" customHeight="true" outlineLevel="0" collapsed="false">
      <c r="A32" s="9" t="s">
        <v>621</v>
      </c>
      <c r="B32" s="9" t="s">
        <v>595</v>
      </c>
      <c r="C32" s="9" t="s">
        <v>53</v>
      </c>
      <c r="D32" s="9" t="s">
        <v>596</v>
      </c>
      <c r="E32" s="10" t="s">
        <v>622</v>
      </c>
      <c r="F32" s="9" t="s">
        <v>339</v>
      </c>
      <c r="G32" s="10" t="s">
        <v>623</v>
      </c>
      <c r="H32" s="9" t="s">
        <v>452</v>
      </c>
      <c r="I32" s="9" t="s">
        <v>624</v>
      </c>
      <c r="J32" s="10" t="s">
        <v>454</v>
      </c>
      <c r="K32" s="10" t="s">
        <v>455</v>
      </c>
      <c r="L32" s="9" t="s">
        <v>456</v>
      </c>
      <c r="M32" s="9" t="s">
        <v>624</v>
      </c>
      <c r="N32" s="9" t="s">
        <v>615</v>
      </c>
      <c r="O32" s="9" t="s">
        <v>504</v>
      </c>
      <c r="P32" s="9" t="s">
        <v>625</v>
      </c>
      <c r="Q32" s="10" t="s">
        <v>459</v>
      </c>
      <c r="R32" s="9" t="s">
        <v>626</v>
      </c>
      <c r="S32" s="9" t="s">
        <v>351</v>
      </c>
      <c r="T32" s="10" t="s">
        <v>461</v>
      </c>
      <c r="U32" s="10" t="s">
        <v>462</v>
      </c>
      <c r="V32" s="9" t="s">
        <v>354</v>
      </c>
      <c r="W32" s="9" t="s">
        <v>463</v>
      </c>
      <c r="X32" s="9" t="s">
        <v>356</v>
      </c>
      <c r="Y32" s="9" t="s">
        <v>476</v>
      </c>
      <c r="Z32" s="9" t="s">
        <v>7</v>
      </c>
      <c r="AA32" s="10"/>
      <c r="AB32" s="10"/>
      <c r="AC32" s="10"/>
      <c r="AD32" s="10"/>
      <c r="AE32" s="10"/>
      <c r="AF32" s="10"/>
      <c r="AG32" s="10"/>
      <c r="AH32" s="23" t="n">
        <f aca="false">IF(AND($Z32="CANCELLED",COUNTIFS('09_风险与决策'!$A$5:$A$100,$AG32,'09_风险与决策'!$B$5:$B$100,"Decision",'09_风险与决策'!$L$5:$L$100,"ACCEPTED")&gt;0),0,1)</f>
        <v>1</v>
      </c>
      <c r="AI32" s="10"/>
      <c r="AJ32" s="9" t="s">
        <v>509</v>
      </c>
    </row>
    <row r="33" customFormat="false" ht="52" hidden="false" customHeight="true" outlineLevel="0" collapsed="false">
      <c r="A33" s="9" t="s">
        <v>627</v>
      </c>
      <c r="B33" s="9" t="s">
        <v>595</v>
      </c>
      <c r="C33" s="9" t="s">
        <v>53</v>
      </c>
      <c r="D33" s="9" t="s">
        <v>596</v>
      </c>
      <c r="E33" s="10" t="s">
        <v>628</v>
      </c>
      <c r="F33" s="9" t="s">
        <v>533</v>
      </c>
      <c r="G33" s="10" t="s">
        <v>629</v>
      </c>
      <c r="H33" s="9" t="s">
        <v>452</v>
      </c>
      <c r="I33" s="9" t="s">
        <v>630</v>
      </c>
      <c r="J33" s="10" t="s">
        <v>454</v>
      </c>
      <c r="K33" s="10" t="s">
        <v>455</v>
      </c>
      <c r="L33" s="9" t="s">
        <v>456</v>
      </c>
      <c r="M33" s="9" t="s">
        <v>630</v>
      </c>
      <c r="N33" s="9" t="s">
        <v>631</v>
      </c>
      <c r="O33" s="9" t="s">
        <v>504</v>
      </c>
      <c r="P33" s="9" t="s">
        <v>632</v>
      </c>
      <c r="Q33" s="10" t="s">
        <v>459</v>
      </c>
      <c r="R33" s="9" t="s">
        <v>633</v>
      </c>
      <c r="S33" s="9" t="s">
        <v>351</v>
      </c>
      <c r="T33" s="10" t="s">
        <v>461</v>
      </c>
      <c r="U33" s="10" t="s">
        <v>462</v>
      </c>
      <c r="V33" s="9" t="s">
        <v>354</v>
      </c>
      <c r="W33" s="9" t="s">
        <v>463</v>
      </c>
      <c r="X33" s="9" t="s">
        <v>356</v>
      </c>
      <c r="Y33" s="9" t="s">
        <v>476</v>
      </c>
      <c r="Z33" s="9" t="s">
        <v>7</v>
      </c>
      <c r="AA33" s="10"/>
      <c r="AB33" s="10"/>
      <c r="AC33" s="10"/>
      <c r="AD33" s="10"/>
      <c r="AE33" s="10"/>
      <c r="AF33" s="10"/>
      <c r="AG33" s="10"/>
      <c r="AH33" s="23" t="n">
        <f aca="false">IF(AND($Z33="CANCELLED",COUNTIFS('09_风险与决策'!$A$5:$A$100,$AG33,'09_风险与决策'!$B$5:$B$100,"Decision",'09_风险与决策'!$L$5:$L$100,"ACCEPTED")&gt;0),0,1)</f>
        <v>1</v>
      </c>
      <c r="AI33" s="10"/>
      <c r="AJ33" s="9" t="s">
        <v>509</v>
      </c>
    </row>
    <row r="34" customFormat="false" ht="52" hidden="false" customHeight="true" outlineLevel="0" collapsed="false">
      <c r="A34" s="9" t="s">
        <v>634</v>
      </c>
      <c r="B34" s="9" t="s">
        <v>635</v>
      </c>
      <c r="C34" s="9" t="s">
        <v>53</v>
      </c>
      <c r="D34" s="9" t="s">
        <v>636</v>
      </c>
      <c r="E34" s="10" t="s">
        <v>637</v>
      </c>
      <c r="F34" s="9" t="s">
        <v>469</v>
      </c>
      <c r="G34" s="9" t="s">
        <v>638</v>
      </c>
      <c r="H34" s="9" t="s">
        <v>452</v>
      </c>
      <c r="I34" s="9" t="s">
        <v>639</v>
      </c>
      <c r="J34" s="10" t="s">
        <v>454</v>
      </c>
      <c r="K34" s="10" t="s">
        <v>455</v>
      </c>
      <c r="L34" s="9" t="s">
        <v>456</v>
      </c>
      <c r="M34" s="9" t="s">
        <v>639</v>
      </c>
      <c r="N34" s="9" t="s">
        <v>594</v>
      </c>
      <c r="O34" s="9" t="s">
        <v>472</v>
      </c>
      <c r="P34" s="9" t="s">
        <v>640</v>
      </c>
      <c r="Q34" s="10" t="s">
        <v>459</v>
      </c>
      <c r="R34" s="9" t="s">
        <v>641</v>
      </c>
      <c r="S34" s="9" t="s">
        <v>351</v>
      </c>
      <c r="T34" s="10" t="s">
        <v>461</v>
      </c>
      <c r="U34" s="10" t="s">
        <v>462</v>
      </c>
      <c r="V34" s="9" t="s">
        <v>354</v>
      </c>
      <c r="W34" s="9" t="s">
        <v>475</v>
      </c>
      <c r="X34" s="9" t="s">
        <v>356</v>
      </c>
      <c r="Y34" s="9" t="s">
        <v>357</v>
      </c>
      <c r="Z34" s="9" t="s">
        <v>7</v>
      </c>
      <c r="AA34" s="10"/>
      <c r="AB34" s="10"/>
      <c r="AC34" s="10"/>
      <c r="AD34" s="10"/>
      <c r="AE34" s="10"/>
      <c r="AF34" s="10"/>
      <c r="AG34" s="10"/>
      <c r="AH34" s="23" t="n">
        <f aca="false">IF(AND($Z34="CANCELLED",COUNTIFS('09_风险与决策'!$A$5:$A$100,$AG34,'09_风险与决策'!$B$5:$B$100,"Decision",'09_风险与决策'!$L$5:$L$100,"ACCEPTED")&gt;0),0,1)</f>
        <v>1</v>
      </c>
      <c r="AI34" s="10"/>
      <c r="AJ34" s="9" t="s">
        <v>478</v>
      </c>
    </row>
    <row r="35" customFormat="false" ht="52" hidden="false" customHeight="true" outlineLevel="0" collapsed="false">
      <c r="A35" s="9" t="s">
        <v>642</v>
      </c>
      <c r="B35" s="9" t="s">
        <v>635</v>
      </c>
      <c r="C35" s="9" t="s">
        <v>53</v>
      </c>
      <c r="D35" s="9" t="s">
        <v>636</v>
      </c>
      <c r="E35" s="10" t="s">
        <v>643</v>
      </c>
      <c r="F35" s="9" t="s">
        <v>339</v>
      </c>
      <c r="G35" s="10" t="s">
        <v>644</v>
      </c>
      <c r="H35" s="9" t="s">
        <v>452</v>
      </c>
      <c r="I35" s="10" t="s">
        <v>645</v>
      </c>
      <c r="J35" s="10" t="s">
        <v>454</v>
      </c>
      <c r="K35" s="10" t="s">
        <v>455</v>
      </c>
      <c r="L35" s="9" t="s">
        <v>456</v>
      </c>
      <c r="M35" s="10" t="s">
        <v>645</v>
      </c>
      <c r="N35" s="9" t="s">
        <v>646</v>
      </c>
      <c r="O35" s="9" t="s">
        <v>504</v>
      </c>
      <c r="P35" s="10" t="s">
        <v>647</v>
      </c>
      <c r="Q35" s="10" t="s">
        <v>459</v>
      </c>
      <c r="R35" s="9" t="s">
        <v>648</v>
      </c>
      <c r="S35" s="9" t="s">
        <v>351</v>
      </c>
      <c r="T35" s="10" t="s">
        <v>461</v>
      </c>
      <c r="U35" s="10" t="s">
        <v>462</v>
      </c>
      <c r="V35" s="9" t="s">
        <v>354</v>
      </c>
      <c r="W35" s="9" t="s">
        <v>463</v>
      </c>
      <c r="X35" s="9" t="s">
        <v>356</v>
      </c>
      <c r="Y35" s="9" t="s">
        <v>476</v>
      </c>
      <c r="Z35" s="9" t="s">
        <v>7</v>
      </c>
      <c r="AA35" s="10"/>
      <c r="AB35" s="10"/>
      <c r="AC35" s="10"/>
      <c r="AD35" s="10"/>
      <c r="AE35" s="10"/>
      <c r="AF35" s="10"/>
      <c r="AG35" s="10"/>
      <c r="AH35" s="23" t="n">
        <f aca="false">IF(AND($Z35="CANCELLED",COUNTIFS('09_风险与决策'!$A$5:$A$100,$AG35,'09_风险与决策'!$B$5:$B$100,"Decision",'09_风险与决策'!$L$5:$L$100,"ACCEPTED")&gt;0),0,1)</f>
        <v>1</v>
      </c>
      <c r="AI35" s="10"/>
      <c r="AJ35" s="9" t="s">
        <v>509</v>
      </c>
    </row>
    <row r="36" customFormat="false" ht="52" hidden="false" customHeight="true" outlineLevel="0" collapsed="false">
      <c r="A36" s="9" t="s">
        <v>649</v>
      </c>
      <c r="B36" s="9" t="s">
        <v>635</v>
      </c>
      <c r="C36" s="9" t="s">
        <v>53</v>
      </c>
      <c r="D36" s="9" t="s">
        <v>636</v>
      </c>
      <c r="E36" s="10" t="s">
        <v>650</v>
      </c>
      <c r="F36" s="9" t="s">
        <v>339</v>
      </c>
      <c r="G36" s="10" t="s">
        <v>651</v>
      </c>
      <c r="H36" s="9" t="s">
        <v>452</v>
      </c>
      <c r="I36" s="10" t="s">
        <v>652</v>
      </c>
      <c r="J36" s="10" t="s">
        <v>454</v>
      </c>
      <c r="K36" s="10" t="s">
        <v>455</v>
      </c>
      <c r="L36" s="9" t="s">
        <v>456</v>
      </c>
      <c r="M36" s="10" t="s">
        <v>652</v>
      </c>
      <c r="N36" s="9" t="s">
        <v>642</v>
      </c>
      <c r="O36" s="9" t="s">
        <v>504</v>
      </c>
      <c r="P36" s="10" t="s">
        <v>653</v>
      </c>
      <c r="Q36" s="10" t="s">
        <v>459</v>
      </c>
      <c r="R36" s="9" t="s">
        <v>654</v>
      </c>
      <c r="S36" s="9" t="s">
        <v>351</v>
      </c>
      <c r="T36" s="10" t="s">
        <v>461</v>
      </c>
      <c r="U36" s="10" t="s">
        <v>462</v>
      </c>
      <c r="V36" s="9" t="s">
        <v>354</v>
      </c>
      <c r="W36" s="9" t="s">
        <v>463</v>
      </c>
      <c r="X36" s="9" t="s">
        <v>356</v>
      </c>
      <c r="Y36" s="9" t="s">
        <v>357</v>
      </c>
      <c r="Z36" s="9" t="s">
        <v>7</v>
      </c>
      <c r="AA36" s="10"/>
      <c r="AB36" s="10"/>
      <c r="AC36" s="10"/>
      <c r="AD36" s="10"/>
      <c r="AE36" s="10"/>
      <c r="AF36" s="10"/>
      <c r="AG36" s="10"/>
      <c r="AH36" s="23" t="n">
        <f aca="false">IF(AND($Z36="CANCELLED",COUNTIFS('09_风险与决策'!$A$5:$A$100,$AG36,'09_风险与决策'!$B$5:$B$100,"Decision",'09_风险与决策'!$L$5:$L$100,"ACCEPTED")&gt;0),0,1)</f>
        <v>1</v>
      </c>
      <c r="AI36" s="10"/>
      <c r="AJ36" s="9" t="s">
        <v>509</v>
      </c>
    </row>
    <row r="37" customFormat="false" ht="52" hidden="false" customHeight="true" outlineLevel="0" collapsed="false">
      <c r="A37" s="9" t="s">
        <v>655</v>
      </c>
      <c r="B37" s="9" t="s">
        <v>635</v>
      </c>
      <c r="C37" s="9" t="s">
        <v>53</v>
      </c>
      <c r="D37" s="9" t="s">
        <v>636</v>
      </c>
      <c r="E37" s="10" t="s">
        <v>656</v>
      </c>
      <c r="F37" s="9" t="s">
        <v>533</v>
      </c>
      <c r="G37" s="10" t="s">
        <v>657</v>
      </c>
      <c r="H37" s="9" t="s">
        <v>452</v>
      </c>
      <c r="I37" s="9" t="s">
        <v>658</v>
      </c>
      <c r="J37" s="10" t="s">
        <v>454</v>
      </c>
      <c r="K37" s="10" t="s">
        <v>455</v>
      </c>
      <c r="L37" s="9" t="s">
        <v>456</v>
      </c>
      <c r="M37" s="9" t="s">
        <v>658</v>
      </c>
      <c r="N37" s="9" t="s">
        <v>659</v>
      </c>
      <c r="O37" s="9" t="s">
        <v>504</v>
      </c>
      <c r="P37" s="9" t="s">
        <v>660</v>
      </c>
      <c r="Q37" s="10" t="s">
        <v>459</v>
      </c>
      <c r="R37" s="9" t="s">
        <v>661</v>
      </c>
      <c r="S37" s="9" t="s">
        <v>351</v>
      </c>
      <c r="T37" s="10" t="s">
        <v>461</v>
      </c>
      <c r="U37" s="10" t="s">
        <v>462</v>
      </c>
      <c r="V37" s="9" t="s">
        <v>354</v>
      </c>
      <c r="W37" s="9" t="s">
        <v>463</v>
      </c>
      <c r="X37" s="9" t="s">
        <v>356</v>
      </c>
      <c r="Y37" s="9" t="s">
        <v>476</v>
      </c>
      <c r="Z37" s="9" t="s">
        <v>7</v>
      </c>
      <c r="AA37" s="10"/>
      <c r="AB37" s="10"/>
      <c r="AC37" s="10"/>
      <c r="AD37" s="10"/>
      <c r="AE37" s="10"/>
      <c r="AF37" s="10"/>
      <c r="AG37" s="10"/>
      <c r="AH37" s="23" t="n">
        <f aca="false">IF(AND($Z37="CANCELLED",COUNTIFS('09_风险与决策'!$A$5:$A$100,$AG37,'09_风险与决策'!$B$5:$B$100,"Decision",'09_风险与决策'!$L$5:$L$100,"ACCEPTED")&gt;0),0,1)</f>
        <v>1</v>
      </c>
      <c r="AI37" s="10"/>
      <c r="AJ37" s="9" t="s">
        <v>509</v>
      </c>
    </row>
    <row r="38" customFormat="false" ht="52" hidden="false" customHeight="true" outlineLevel="0" collapsed="false">
      <c r="A38" s="9" t="s">
        <v>662</v>
      </c>
      <c r="B38" s="9" t="s">
        <v>635</v>
      </c>
      <c r="C38" s="9" t="s">
        <v>53</v>
      </c>
      <c r="D38" s="9" t="s">
        <v>636</v>
      </c>
      <c r="E38" s="10" t="s">
        <v>663</v>
      </c>
      <c r="F38" s="9" t="s">
        <v>664</v>
      </c>
      <c r="G38" s="10" t="s">
        <v>665</v>
      </c>
      <c r="H38" s="9" t="s">
        <v>452</v>
      </c>
      <c r="I38" s="10" t="s">
        <v>666</v>
      </c>
      <c r="J38" s="10" t="s">
        <v>454</v>
      </c>
      <c r="K38" s="10" t="s">
        <v>455</v>
      </c>
      <c r="L38" s="9" t="s">
        <v>456</v>
      </c>
      <c r="M38" s="10" t="s">
        <v>666</v>
      </c>
      <c r="N38" s="9" t="s">
        <v>655</v>
      </c>
      <c r="O38" s="9" t="s">
        <v>667</v>
      </c>
      <c r="P38" s="10" t="s">
        <v>668</v>
      </c>
      <c r="Q38" s="10" t="s">
        <v>459</v>
      </c>
      <c r="R38" s="9" t="s">
        <v>669</v>
      </c>
      <c r="S38" s="9" t="s">
        <v>351</v>
      </c>
      <c r="T38" s="10" t="s">
        <v>461</v>
      </c>
      <c r="U38" s="10" t="s">
        <v>462</v>
      </c>
      <c r="V38" s="9" t="s">
        <v>354</v>
      </c>
      <c r="W38" s="9" t="s">
        <v>463</v>
      </c>
      <c r="X38" s="9" t="s">
        <v>497</v>
      </c>
      <c r="Y38" s="9" t="s">
        <v>357</v>
      </c>
      <c r="Z38" s="9" t="s">
        <v>7</v>
      </c>
      <c r="AA38" s="10"/>
      <c r="AB38" s="10"/>
      <c r="AC38" s="10"/>
      <c r="AD38" s="10"/>
      <c r="AE38" s="10"/>
      <c r="AF38" s="10"/>
      <c r="AG38" s="10"/>
      <c r="AH38" s="23" t="n">
        <f aca="false">IF(AND($Z38="CANCELLED",COUNTIFS('09_风险与决策'!$A$5:$A$100,$AG38,'09_风险与决策'!$B$5:$B$100,"Decision",'09_风险与决策'!$L$5:$L$100,"ACCEPTED")&gt;0),0,1)</f>
        <v>1</v>
      </c>
      <c r="AI38" s="10"/>
      <c r="AJ38" s="9" t="s">
        <v>670</v>
      </c>
    </row>
    <row r="39" customFormat="false" ht="52" hidden="false" customHeight="true" outlineLevel="0" collapsed="false">
      <c r="A39" s="9" t="s">
        <v>671</v>
      </c>
      <c r="B39" s="9" t="s">
        <v>672</v>
      </c>
      <c r="C39" s="9" t="s">
        <v>53</v>
      </c>
      <c r="D39" s="9" t="s">
        <v>673</v>
      </c>
      <c r="E39" s="10" t="s">
        <v>674</v>
      </c>
      <c r="F39" s="9" t="s">
        <v>365</v>
      </c>
      <c r="G39" s="10" t="s">
        <v>675</v>
      </c>
      <c r="H39" s="9" t="s">
        <v>452</v>
      </c>
      <c r="I39" s="9" t="s">
        <v>676</v>
      </c>
      <c r="J39" s="10" t="s">
        <v>454</v>
      </c>
      <c r="K39" s="10" t="s">
        <v>455</v>
      </c>
      <c r="L39" s="9" t="s">
        <v>456</v>
      </c>
      <c r="M39" s="9" t="s">
        <v>676</v>
      </c>
      <c r="N39" s="9" t="s">
        <v>446</v>
      </c>
      <c r="O39" s="9" t="s">
        <v>472</v>
      </c>
      <c r="P39" s="9" t="s">
        <v>677</v>
      </c>
      <c r="Q39" s="10" t="s">
        <v>459</v>
      </c>
      <c r="R39" s="9" t="s">
        <v>678</v>
      </c>
      <c r="S39" s="9" t="s">
        <v>351</v>
      </c>
      <c r="T39" s="10" t="s">
        <v>461</v>
      </c>
      <c r="U39" s="10" t="s">
        <v>462</v>
      </c>
      <c r="V39" s="9" t="s">
        <v>354</v>
      </c>
      <c r="W39" s="9" t="s">
        <v>475</v>
      </c>
      <c r="X39" s="9" t="s">
        <v>356</v>
      </c>
      <c r="Y39" s="9" t="s">
        <v>476</v>
      </c>
      <c r="Z39" s="9" t="s">
        <v>7</v>
      </c>
      <c r="AA39" s="10"/>
      <c r="AB39" s="10"/>
      <c r="AC39" s="10"/>
      <c r="AD39" s="10"/>
      <c r="AE39" s="10"/>
      <c r="AF39" s="10"/>
      <c r="AG39" s="10"/>
      <c r="AH39" s="23" t="n">
        <f aca="false">IF(AND($Z39="CANCELLED",COUNTIFS('09_风险与决策'!$A$5:$A$100,$AG39,'09_风险与决策'!$B$5:$B$100,"Decision",'09_风险与决策'!$L$5:$L$100,"ACCEPTED")&gt;0),0,1)</f>
        <v>1</v>
      </c>
      <c r="AI39" s="10"/>
      <c r="AJ39" s="9" t="s">
        <v>478</v>
      </c>
    </row>
    <row r="40" customFormat="false" ht="52" hidden="false" customHeight="true" outlineLevel="0" collapsed="false">
      <c r="A40" s="9" t="s">
        <v>679</v>
      </c>
      <c r="B40" s="9" t="s">
        <v>672</v>
      </c>
      <c r="C40" s="9" t="s">
        <v>53</v>
      </c>
      <c r="D40" s="9" t="s">
        <v>673</v>
      </c>
      <c r="E40" s="10" t="s">
        <v>680</v>
      </c>
      <c r="F40" s="9" t="s">
        <v>469</v>
      </c>
      <c r="G40" s="10" t="s">
        <v>681</v>
      </c>
      <c r="H40" s="9" t="s">
        <v>452</v>
      </c>
      <c r="I40" s="9" t="s">
        <v>682</v>
      </c>
      <c r="J40" s="10" t="s">
        <v>454</v>
      </c>
      <c r="K40" s="10" t="s">
        <v>455</v>
      </c>
      <c r="L40" s="9" t="s">
        <v>456</v>
      </c>
      <c r="M40" s="9" t="s">
        <v>682</v>
      </c>
      <c r="N40" s="9" t="s">
        <v>683</v>
      </c>
      <c r="O40" s="9" t="s">
        <v>472</v>
      </c>
      <c r="P40" s="9" t="s">
        <v>684</v>
      </c>
      <c r="Q40" s="10" t="s">
        <v>459</v>
      </c>
      <c r="R40" s="9" t="s">
        <v>685</v>
      </c>
      <c r="S40" s="9" t="s">
        <v>351</v>
      </c>
      <c r="T40" s="10" t="s">
        <v>461</v>
      </c>
      <c r="U40" s="10" t="s">
        <v>462</v>
      </c>
      <c r="V40" s="9" t="s">
        <v>354</v>
      </c>
      <c r="W40" s="9" t="s">
        <v>475</v>
      </c>
      <c r="X40" s="9" t="s">
        <v>356</v>
      </c>
      <c r="Y40" s="9" t="s">
        <v>476</v>
      </c>
      <c r="Z40" s="9" t="s">
        <v>7</v>
      </c>
      <c r="AA40" s="10"/>
      <c r="AB40" s="10"/>
      <c r="AC40" s="10"/>
      <c r="AD40" s="10"/>
      <c r="AE40" s="10"/>
      <c r="AF40" s="10"/>
      <c r="AG40" s="10"/>
      <c r="AH40" s="23" t="n">
        <f aca="false">IF(AND($Z40="CANCELLED",COUNTIFS('09_风险与决策'!$A$5:$A$100,$AG40,'09_风险与决策'!$B$5:$B$100,"Decision",'09_风险与决策'!$L$5:$L$100,"ACCEPTED")&gt;0),0,1)</f>
        <v>1</v>
      </c>
      <c r="AI40" s="10"/>
      <c r="AJ40" s="9" t="s">
        <v>478</v>
      </c>
    </row>
    <row r="41" customFormat="false" ht="52" hidden="false" customHeight="true" outlineLevel="0" collapsed="false">
      <c r="A41" s="9" t="s">
        <v>686</v>
      </c>
      <c r="B41" s="9" t="s">
        <v>672</v>
      </c>
      <c r="C41" s="9" t="s">
        <v>53</v>
      </c>
      <c r="D41" s="9" t="s">
        <v>673</v>
      </c>
      <c r="E41" s="10" t="s">
        <v>687</v>
      </c>
      <c r="F41" s="9" t="s">
        <v>339</v>
      </c>
      <c r="G41" s="10" t="s">
        <v>688</v>
      </c>
      <c r="H41" s="9" t="s">
        <v>452</v>
      </c>
      <c r="I41" s="9" t="s">
        <v>689</v>
      </c>
      <c r="J41" s="10" t="s">
        <v>454</v>
      </c>
      <c r="K41" s="10" t="s">
        <v>455</v>
      </c>
      <c r="L41" s="9" t="s">
        <v>456</v>
      </c>
      <c r="M41" s="9" t="s">
        <v>689</v>
      </c>
      <c r="N41" s="9" t="s">
        <v>679</v>
      </c>
      <c r="O41" s="9" t="s">
        <v>504</v>
      </c>
      <c r="P41" s="9" t="s">
        <v>690</v>
      </c>
      <c r="Q41" s="10" t="s">
        <v>459</v>
      </c>
      <c r="R41" s="9" t="s">
        <v>691</v>
      </c>
      <c r="S41" s="9" t="s">
        <v>351</v>
      </c>
      <c r="T41" s="10" t="s">
        <v>461</v>
      </c>
      <c r="U41" s="10" t="s">
        <v>462</v>
      </c>
      <c r="V41" s="9" t="s">
        <v>354</v>
      </c>
      <c r="W41" s="9" t="s">
        <v>463</v>
      </c>
      <c r="X41" s="9" t="s">
        <v>356</v>
      </c>
      <c r="Y41" s="9" t="s">
        <v>476</v>
      </c>
      <c r="Z41" s="9" t="s">
        <v>7</v>
      </c>
      <c r="AA41" s="10"/>
      <c r="AB41" s="10"/>
      <c r="AC41" s="10"/>
      <c r="AD41" s="10"/>
      <c r="AE41" s="10"/>
      <c r="AF41" s="10"/>
      <c r="AG41" s="10"/>
      <c r="AH41" s="23" t="n">
        <f aca="false">IF(AND($Z41="CANCELLED",COUNTIFS('09_风险与决策'!$A$5:$A$100,$AG41,'09_风险与决策'!$B$5:$B$100,"Decision",'09_风险与决策'!$L$5:$L$100,"ACCEPTED")&gt;0),0,1)</f>
        <v>1</v>
      </c>
      <c r="AI41" s="10"/>
      <c r="AJ41" s="9" t="s">
        <v>509</v>
      </c>
    </row>
    <row r="42" customFormat="false" ht="52" hidden="false" customHeight="true" outlineLevel="0" collapsed="false">
      <c r="A42" s="9" t="s">
        <v>692</v>
      </c>
      <c r="B42" s="9" t="s">
        <v>672</v>
      </c>
      <c r="C42" s="9" t="s">
        <v>53</v>
      </c>
      <c r="D42" s="9" t="s">
        <v>673</v>
      </c>
      <c r="E42" s="10" t="s">
        <v>693</v>
      </c>
      <c r="F42" s="9" t="s">
        <v>339</v>
      </c>
      <c r="G42" s="10" t="s">
        <v>694</v>
      </c>
      <c r="H42" s="9" t="s">
        <v>452</v>
      </c>
      <c r="I42" s="9" t="s">
        <v>695</v>
      </c>
      <c r="J42" s="10" t="s">
        <v>454</v>
      </c>
      <c r="K42" s="10" t="s">
        <v>455</v>
      </c>
      <c r="L42" s="9" t="s">
        <v>456</v>
      </c>
      <c r="M42" s="9" t="s">
        <v>695</v>
      </c>
      <c r="N42" s="9" t="s">
        <v>696</v>
      </c>
      <c r="O42" s="9" t="s">
        <v>504</v>
      </c>
      <c r="P42" s="9" t="s">
        <v>697</v>
      </c>
      <c r="Q42" s="10" t="s">
        <v>459</v>
      </c>
      <c r="R42" s="9" t="s">
        <v>698</v>
      </c>
      <c r="S42" s="9" t="s">
        <v>351</v>
      </c>
      <c r="T42" s="10" t="s">
        <v>461</v>
      </c>
      <c r="U42" s="10" t="s">
        <v>462</v>
      </c>
      <c r="V42" s="9" t="s">
        <v>354</v>
      </c>
      <c r="W42" s="9" t="s">
        <v>463</v>
      </c>
      <c r="X42" s="9" t="s">
        <v>356</v>
      </c>
      <c r="Y42" s="9" t="s">
        <v>476</v>
      </c>
      <c r="Z42" s="9" t="s">
        <v>7</v>
      </c>
      <c r="AA42" s="10"/>
      <c r="AB42" s="10"/>
      <c r="AC42" s="10"/>
      <c r="AD42" s="10"/>
      <c r="AE42" s="10"/>
      <c r="AF42" s="10"/>
      <c r="AG42" s="10"/>
      <c r="AH42" s="23" t="n">
        <f aca="false">IF(AND($Z42="CANCELLED",COUNTIFS('09_风险与决策'!$A$5:$A$100,$AG42,'09_风险与决策'!$B$5:$B$100,"Decision",'09_风险与决策'!$L$5:$L$100,"ACCEPTED")&gt;0),0,1)</f>
        <v>1</v>
      </c>
      <c r="AI42" s="10"/>
      <c r="AJ42" s="9" t="s">
        <v>509</v>
      </c>
    </row>
    <row r="43" customFormat="false" ht="52" hidden="false" customHeight="true" outlineLevel="0" collapsed="false">
      <c r="A43" s="9" t="s">
        <v>699</v>
      </c>
      <c r="B43" s="9" t="s">
        <v>672</v>
      </c>
      <c r="C43" s="9" t="s">
        <v>53</v>
      </c>
      <c r="D43" s="9" t="s">
        <v>673</v>
      </c>
      <c r="E43" s="10" t="s">
        <v>700</v>
      </c>
      <c r="F43" s="9" t="s">
        <v>533</v>
      </c>
      <c r="G43" s="10" t="s">
        <v>701</v>
      </c>
      <c r="H43" s="9" t="s">
        <v>452</v>
      </c>
      <c r="I43" s="9" t="s">
        <v>702</v>
      </c>
      <c r="J43" s="10" t="s">
        <v>454</v>
      </c>
      <c r="K43" s="10" t="s">
        <v>455</v>
      </c>
      <c r="L43" s="9" t="s">
        <v>456</v>
      </c>
      <c r="M43" s="9" t="s">
        <v>702</v>
      </c>
      <c r="N43" s="9" t="s">
        <v>692</v>
      </c>
      <c r="O43" s="9" t="s">
        <v>504</v>
      </c>
      <c r="P43" s="9" t="s">
        <v>703</v>
      </c>
      <c r="Q43" s="10" t="s">
        <v>459</v>
      </c>
      <c r="R43" s="9" t="s">
        <v>704</v>
      </c>
      <c r="S43" s="9" t="s">
        <v>351</v>
      </c>
      <c r="T43" s="10" t="s">
        <v>461</v>
      </c>
      <c r="U43" s="10" t="s">
        <v>462</v>
      </c>
      <c r="V43" s="9" t="s">
        <v>354</v>
      </c>
      <c r="W43" s="9" t="s">
        <v>463</v>
      </c>
      <c r="X43" s="9" t="s">
        <v>356</v>
      </c>
      <c r="Y43" s="9" t="s">
        <v>476</v>
      </c>
      <c r="Z43" s="9" t="s">
        <v>7</v>
      </c>
      <c r="AA43" s="10"/>
      <c r="AB43" s="10"/>
      <c r="AC43" s="10"/>
      <c r="AD43" s="10"/>
      <c r="AE43" s="10"/>
      <c r="AF43" s="10"/>
      <c r="AG43" s="10"/>
      <c r="AH43" s="23" t="n">
        <f aca="false">IF(AND($Z43="CANCELLED",COUNTIFS('09_风险与决策'!$A$5:$A$100,$AG43,'09_风险与决策'!$B$5:$B$100,"Decision",'09_风险与决策'!$L$5:$L$100,"ACCEPTED")&gt;0),0,1)</f>
        <v>1</v>
      </c>
      <c r="AI43" s="10"/>
      <c r="AJ43" s="9" t="s">
        <v>509</v>
      </c>
    </row>
    <row r="44" customFormat="false" ht="52" hidden="false" customHeight="true" outlineLevel="0" collapsed="false">
      <c r="A44" s="9" t="s">
        <v>705</v>
      </c>
      <c r="B44" s="9" t="s">
        <v>706</v>
      </c>
      <c r="C44" s="9" t="s">
        <v>53</v>
      </c>
      <c r="D44" s="9" t="s">
        <v>707</v>
      </c>
      <c r="E44" s="10" t="s">
        <v>708</v>
      </c>
      <c r="F44" s="9" t="s">
        <v>709</v>
      </c>
      <c r="G44" s="10" t="s">
        <v>710</v>
      </c>
      <c r="H44" s="9" t="s">
        <v>452</v>
      </c>
      <c r="I44" s="10" t="s">
        <v>711</v>
      </c>
      <c r="J44" s="10" t="s">
        <v>454</v>
      </c>
      <c r="K44" s="10" t="s">
        <v>455</v>
      </c>
      <c r="L44" s="9" t="s">
        <v>456</v>
      </c>
      <c r="M44" s="10" t="s">
        <v>711</v>
      </c>
      <c r="N44" s="9" t="s">
        <v>580</v>
      </c>
      <c r="O44" s="9" t="s">
        <v>712</v>
      </c>
      <c r="P44" s="10" t="s">
        <v>713</v>
      </c>
      <c r="Q44" s="10" t="s">
        <v>714</v>
      </c>
      <c r="R44" s="9" t="s">
        <v>715</v>
      </c>
      <c r="S44" s="9" t="s">
        <v>351</v>
      </c>
      <c r="T44" s="10" t="s">
        <v>461</v>
      </c>
      <c r="U44" s="10" t="s">
        <v>462</v>
      </c>
      <c r="V44" s="9" t="s">
        <v>354</v>
      </c>
      <c r="W44" s="9" t="s">
        <v>463</v>
      </c>
      <c r="X44" s="9" t="s">
        <v>497</v>
      </c>
      <c r="Y44" s="9" t="s">
        <v>423</v>
      </c>
      <c r="Z44" s="9" t="s">
        <v>7</v>
      </c>
      <c r="AA44" s="10"/>
      <c r="AB44" s="10"/>
      <c r="AC44" s="10"/>
      <c r="AD44" s="10"/>
      <c r="AE44" s="10"/>
      <c r="AF44" s="10"/>
      <c r="AG44" s="10"/>
      <c r="AH44" s="23" t="n">
        <f aca="false">IF(AND($Z44="CANCELLED",COUNTIFS('09_风险与决策'!$A$5:$A$100,$AG44,'09_风险与决策'!$B$5:$B$100,"Decision",'09_风险与决策'!$L$5:$L$100,"ACCEPTED")&gt;0),0,1)</f>
        <v>1</v>
      </c>
      <c r="AI44" s="10"/>
      <c r="AJ44" s="9" t="s">
        <v>716</v>
      </c>
    </row>
    <row r="45" customFormat="false" ht="52" hidden="false" customHeight="true" outlineLevel="0" collapsed="false">
      <c r="A45" s="9" t="s">
        <v>717</v>
      </c>
      <c r="B45" s="9" t="s">
        <v>706</v>
      </c>
      <c r="C45" s="9" t="s">
        <v>53</v>
      </c>
      <c r="D45" s="9" t="s">
        <v>707</v>
      </c>
      <c r="E45" s="10" t="s">
        <v>718</v>
      </c>
      <c r="F45" s="9" t="s">
        <v>709</v>
      </c>
      <c r="G45" s="10" t="s">
        <v>719</v>
      </c>
      <c r="H45" s="9" t="s">
        <v>452</v>
      </c>
      <c r="I45" s="10" t="s">
        <v>720</v>
      </c>
      <c r="J45" s="10" t="s">
        <v>454</v>
      </c>
      <c r="K45" s="10" t="s">
        <v>455</v>
      </c>
      <c r="L45" s="9" t="s">
        <v>456</v>
      </c>
      <c r="M45" s="10" t="s">
        <v>720</v>
      </c>
      <c r="N45" s="9" t="s">
        <v>721</v>
      </c>
      <c r="O45" s="9" t="s">
        <v>712</v>
      </c>
      <c r="P45" s="10" t="s">
        <v>722</v>
      </c>
      <c r="Q45" s="10" t="s">
        <v>714</v>
      </c>
      <c r="R45" s="9" t="s">
        <v>723</v>
      </c>
      <c r="S45" s="9" t="s">
        <v>351</v>
      </c>
      <c r="T45" s="10" t="s">
        <v>461</v>
      </c>
      <c r="U45" s="10" t="s">
        <v>462</v>
      </c>
      <c r="V45" s="9" t="s">
        <v>354</v>
      </c>
      <c r="W45" s="9" t="s">
        <v>463</v>
      </c>
      <c r="X45" s="9" t="s">
        <v>497</v>
      </c>
      <c r="Y45" s="9" t="s">
        <v>357</v>
      </c>
      <c r="Z45" s="9" t="s">
        <v>7</v>
      </c>
      <c r="AA45" s="10"/>
      <c r="AB45" s="10"/>
      <c r="AC45" s="10"/>
      <c r="AD45" s="10"/>
      <c r="AE45" s="10"/>
      <c r="AF45" s="10"/>
      <c r="AG45" s="10"/>
      <c r="AH45" s="23" t="n">
        <f aca="false">IF(AND($Z45="CANCELLED",COUNTIFS('09_风险与决策'!$A$5:$A$100,$AG45,'09_风险与决策'!$B$5:$B$100,"Decision",'09_风险与决策'!$L$5:$L$100,"ACCEPTED")&gt;0),0,1)</f>
        <v>1</v>
      </c>
      <c r="AI45" s="10"/>
      <c r="AJ45" s="9" t="s">
        <v>716</v>
      </c>
    </row>
    <row r="46" customFormat="false" ht="52" hidden="false" customHeight="true" outlineLevel="0" collapsed="false">
      <c r="A46" s="9" t="s">
        <v>724</v>
      </c>
      <c r="B46" s="9" t="s">
        <v>706</v>
      </c>
      <c r="C46" s="9" t="s">
        <v>53</v>
      </c>
      <c r="D46" s="9" t="s">
        <v>707</v>
      </c>
      <c r="E46" s="10" t="s">
        <v>725</v>
      </c>
      <c r="F46" s="9" t="s">
        <v>726</v>
      </c>
      <c r="G46" s="10" t="s">
        <v>727</v>
      </c>
      <c r="H46" s="9" t="s">
        <v>452</v>
      </c>
      <c r="I46" s="10" t="s">
        <v>728</v>
      </c>
      <c r="J46" s="10" t="s">
        <v>454</v>
      </c>
      <c r="K46" s="10" t="s">
        <v>455</v>
      </c>
      <c r="L46" s="9" t="s">
        <v>456</v>
      </c>
      <c r="M46" s="10" t="s">
        <v>728</v>
      </c>
      <c r="N46" s="9" t="s">
        <v>729</v>
      </c>
      <c r="O46" s="9" t="s">
        <v>712</v>
      </c>
      <c r="P46" s="10" t="s">
        <v>730</v>
      </c>
      <c r="Q46" s="10" t="s">
        <v>714</v>
      </c>
      <c r="R46" s="9" t="s">
        <v>731</v>
      </c>
      <c r="S46" s="9" t="s">
        <v>351</v>
      </c>
      <c r="T46" s="10" t="s">
        <v>461</v>
      </c>
      <c r="U46" s="10" t="s">
        <v>462</v>
      </c>
      <c r="V46" s="9" t="s">
        <v>354</v>
      </c>
      <c r="W46" s="9" t="s">
        <v>463</v>
      </c>
      <c r="X46" s="9" t="s">
        <v>356</v>
      </c>
      <c r="Y46" s="9" t="s">
        <v>357</v>
      </c>
      <c r="Z46" s="9" t="s">
        <v>7</v>
      </c>
      <c r="AA46" s="10"/>
      <c r="AB46" s="10"/>
      <c r="AC46" s="10"/>
      <c r="AD46" s="10"/>
      <c r="AE46" s="10"/>
      <c r="AF46" s="10"/>
      <c r="AG46" s="10"/>
      <c r="AH46" s="23" t="n">
        <f aca="false">IF(AND($Z46="CANCELLED",COUNTIFS('09_风险与决策'!$A$5:$A$100,$AG46,'09_风险与决策'!$B$5:$B$100,"Decision",'09_风险与决策'!$L$5:$L$100,"ACCEPTED")&gt;0),0,1)</f>
        <v>1</v>
      </c>
      <c r="AI46" s="10"/>
      <c r="AJ46" s="9" t="s">
        <v>716</v>
      </c>
    </row>
    <row r="47" customFormat="false" ht="52" hidden="false" customHeight="true" outlineLevel="0" collapsed="false">
      <c r="A47" s="9" t="s">
        <v>732</v>
      </c>
      <c r="B47" s="9" t="s">
        <v>733</v>
      </c>
      <c r="C47" s="9" t="s">
        <v>53</v>
      </c>
      <c r="D47" s="9" t="s">
        <v>734</v>
      </c>
      <c r="E47" s="10" t="s">
        <v>735</v>
      </c>
      <c r="F47" s="9" t="s">
        <v>736</v>
      </c>
      <c r="G47" s="10" t="s">
        <v>737</v>
      </c>
      <c r="H47" s="9" t="s">
        <v>452</v>
      </c>
      <c r="I47" s="10" t="s">
        <v>738</v>
      </c>
      <c r="J47" s="10" t="s">
        <v>454</v>
      </c>
      <c r="K47" s="10" t="s">
        <v>455</v>
      </c>
      <c r="L47" s="9" t="s">
        <v>456</v>
      </c>
      <c r="M47" s="10" t="s">
        <v>738</v>
      </c>
      <c r="N47" s="9" t="s">
        <v>467</v>
      </c>
      <c r="O47" s="9" t="s">
        <v>504</v>
      </c>
      <c r="P47" s="10" t="s">
        <v>739</v>
      </c>
      <c r="Q47" s="10" t="s">
        <v>459</v>
      </c>
      <c r="R47" s="9" t="s">
        <v>740</v>
      </c>
      <c r="S47" s="9" t="s">
        <v>351</v>
      </c>
      <c r="T47" s="10" t="s">
        <v>461</v>
      </c>
      <c r="U47" s="10" t="s">
        <v>462</v>
      </c>
      <c r="V47" s="9" t="s">
        <v>354</v>
      </c>
      <c r="W47" s="9" t="s">
        <v>463</v>
      </c>
      <c r="X47" s="9" t="s">
        <v>497</v>
      </c>
      <c r="Y47" s="9" t="s">
        <v>423</v>
      </c>
      <c r="Z47" s="9" t="s">
        <v>7</v>
      </c>
      <c r="AA47" s="10"/>
      <c r="AB47" s="10"/>
      <c r="AC47" s="10"/>
      <c r="AD47" s="10"/>
      <c r="AE47" s="10"/>
      <c r="AF47" s="10"/>
      <c r="AG47" s="10"/>
      <c r="AH47" s="23" t="n">
        <f aca="false">IF(AND($Z47="CANCELLED",COUNTIFS('09_风险与决策'!$A$5:$A$100,$AG47,'09_风险与决策'!$B$5:$B$100,"Decision",'09_风险与决策'!$L$5:$L$100,"ACCEPTED")&gt;0),0,1)</f>
        <v>1</v>
      </c>
      <c r="AI47" s="10"/>
      <c r="AJ47" s="9" t="s">
        <v>670</v>
      </c>
    </row>
    <row r="48" customFormat="false" ht="52" hidden="false" customHeight="true" outlineLevel="0" collapsed="false">
      <c r="A48" s="9" t="s">
        <v>741</v>
      </c>
      <c r="B48" s="9" t="s">
        <v>733</v>
      </c>
      <c r="C48" s="9" t="s">
        <v>53</v>
      </c>
      <c r="D48" s="9" t="s">
        <v>734</v>
      </c>
      <c r="E48" s="10" t="s">
        <v>742</v>
      </c>
      <c r="F48" s="9" t="s">
        <v>736</v>
      </c>
      <c r="G48" s="10" t="s">
        <v>743</v>
      </c>
      <c r="H48" s="9" t="s">
        <v>452</v>
      </c>
      <c r="I48" s="10" t="s">
        <v>744</v>
      </c>
      <c r="J48" s="10" t="s">
        <v>454</v>
      </c>
      <c r="K48" s="10" t="s">
        <v>455</v>
      </c>
      <c r="L48" s="9" t="s">
        <v>456</v>
      </c>
      <c r="M48" s="10" t="s">
        <v>744</v>
      </c>
      <c r="N48" s="9" t="s">
        <v>745</v>
      </c>
      <c r="O48" s="9" t="s">
        <v>504</v>
      </c>
      <c r="P48" s="10" t="s">
        <v>746</v>
      </c>
      <c r="Q48" s="10" t="s">
        <v>459</v>
      </c>
      <c r="R48" s="9" t="s">
        <v>747</v>
      </c>
      <c r="S48" s="9" t="s">
        <v>351</v>
      </c>
      <c r="T48" s="10" t="s">
        <v>461</v>
      </c>
      <c r="U48" s="10" t="s">
        <v>462</v>
      </c>
      <c r="V48" s="9" t="s">
        <v>354</v>
      </c>
      <c r="W48" s="9" t="s">
        <v>463</v>
      </c>
      <c r="X48" s="9" t="s">
        <v>356</v>
      </c>
      <c r="Y48" s="9" t="s">
        <v>357</v>
      </c>
      <c r="Z48" s="9" t="s">
        <v>7</v>
      </c>
      <c r="AA48" s="10"/>
      <c r="AB48" s="10"/>
      <c r="AC48" s="10"/>
      <c r="AD48" s="10"/>
      <c r="AE48" s="10"/>
      <c r="AF48" s="10"/>
      <c r="AG48" s="10"/>
      <c r="AH48" s="23" t="n">
        <f aca="false">IF(AND($Z48="CANCELLED",COUNTIFS('09_风险与决策'!$A$5:$A$100,$AG48,'09_风险与决策'!$B$5:$B$100,"Decision",'09_风险与决策'!$L$5:$L$100,"ACCEPTED")&gt;0),0,1)</f>
        <v>1</v>
      </c>
      <c r="AI48" s="10"/>
      <c r="AJ48" s="9" t="s">
        <v>670</v>
      </c>
    </row>
    <row r="49" customFormat="false" ht="52" hidden="false" customHeight="true" outlineLevel="0" collapsed="false">
      <c r="A49" s="9" t="s">
        <v>748</v>
      </c>
      <c r="B49" s="9" t="s">
        <v>733</v>
      </c>
      <c r="C49" s="9" t="s">
        <v>53</v>
      </c>
      <c r="D49" s="9" t="s">
        <v>734</v>
      </c>
      <c r="E49" s="10" t="s">
        <v>749</v>
      </c>
      <c r="F49" s="9" t="s">
        <v>736</v>
      </c>
      <c r="G49" s="9" t="s">
        <v>750</v>
      </c>
      <c r="H49" s="9" t="s">
        <v>452</v>
      </c>
      <c r="I49" s="9" t="s">
        <v>751</v>
      </c>
      <c r="J49" s="10" t="s">
        <v>454</v>
      </c>
      <c r="K49" s="10" t="s">
        <v>455</v>
      </c>
      <c r="L49" s="9" t="s">
        <v>456</v>
      </c>
      <c r="M49" s="9" t="s">
        <v>751</v>
      </c>
      <c r="N49" s="9" t="s">
        <v>741</v>
      </c>
      <c r="O49" s="9" t="s">
        <v>667</v>
      </c>
      <c r="P49" s="9" t="s">
        <v>752</v>
      </c>
      <c r="Q49" s="10" t="s">
        <v>459</v>
      </c>
      <c r="R49" s="9" t="s">
        <v>753</v>
      </c>
      <c r="S49" s="9" t="s">
        <v>351</v>
      </c>
      <c r="T49" s="10" t="s">
        <v>461</v>
      </c>
      <c r="U49" s="10" t="s">
        <v>462</v>
      </c>
      <c r="V49" s="9" t="s">
        <v>354</v>
      </c>
      <c r="W49" s="9" t="s">
        <v>463</v>
      </c>
      <c r="X49" s="9" t="s">
        <v>356</v>
      </c>
      <c r="Y49" s="9" t="s">
        <v>357</v>
      </c>
      <c r="Z49" s="9" t="s">
        <v>7</v>
      </c>
      <c r="AA49" s="10"/>
      <c r="AB49" s="10"/>
      <c r="AC49" s="10"/>
      <c r="AD49" s="10"/>
      <c r="AE49" s="10"/>
      <c r="AF49" s="10"/>
      <c r="AG49" s="10"/>
      <c r="AH49" s="23" t="n">
        <f aca="false">IF(AND($Z49="CANCELLED",COUNTIFS('09_风险与决策'!$A$5:$A$100,$AG49,'09_风险与决策'!$B$5:$B$100,"Decision",'09_风险与决策'!$L$5:$L$100,"ACCEPTED")&gt;0),0,1)</f>
        <v>1</v>
      </c>
      <c r="AI49" s="10"/>
      <c r="AJ49" s="9" t="s">
        <v>670</v>
      </c>
    </row>
    <row r="50" customFormat="false" ht="52" hidden="false" customHeight="true" outlineLevel="0" collapsed="false">
      <c r="A50" s="9" t="s">
        <v>754</v>
      </c>
      <c r="B50" s="9" t="s">
        <v>733</v>
      </c>
      <c r="C50" s="9" t="s">
        <v>53</v>
      </c>
      <c r="D50" s="9" t="s">
        <v>734</v>
      </c>
      <c r="E50" s="10" t="s">
        <v>755</v>
      </c>
      <c r="F50" s="9" t="s">
        <v>756</v>
      </c>
      <c r="G50" s="10" t="s">
        <v>757</v>
      </c>
      <c r="H50" s="9" t="s">
        <v>452</v>
      </c>
      <c r="I50" s="10" t="s">
        <v>758</v>
      </c>
      <c r="J50" s="10" t="s">
        <v>454</v>
      </c>
      <c r="K50" s="10" t="s">
        <v>455</v>
      </c>
      <c r="L50" s="9" t="s">
        <v>456</v>
      </c>
      <c r="M50" s="10" t="s">
        <v>758</v>
      </c>
      <c r="N50" s="9" t="s">
        <v>759</v>
      </c>
      <c r="O50" s="9" t="s">
        <v>712</v>
      </c>
      <c r="P50" s="10" t="s">
        <v>760</v>
      </c>
      <c r="Q50" s="10" t="s">
        <v>714</v>
      </c>
      <c r="R50" s="9" t="s">
        <v>761</v>
      </c>
      <c r="S50" s="9" t="s">
        <v>351</v>
      </c>
      <c r="T50" s="10" t="s">
        <v>461</v>
      </c>
      <c r="U50" s="10" t="s">
        <v>462</v>
      </c>
      <c r="V50" s="9" t="s">
        <v>354</v>
      </c>
      <c r="W50" s="9" t="s">
        <v>463</v>
      </c>
      <c r="X50" s="9" t="s">
        <v>356</v>
      </c>
      <c r="Y50" s="9" t="s">
        <v>357</v>
      </c>
      <c r="Z50" s="9" t="s">
        <v>7</v>
      </c>
      <c r="AA50" s="10"/>
      <c r="AB50" s="10"/>
      <c r="AC50" s="10"/>
      <c r="AD50" s="10"/>
      <c r="AE50" s="10"/>
      <c r="AF50" s="10"/>
      <c r="AG50" s="10"/>
      <c r="AH50" s="23" t="n">
        <f aca="false">IF(AND($Z50="CANCELLED",COUNTIFS('09_风险与决策'!$A$5:$A$100,$AG50,'09_风险与决策'!$B$5:$B$100,"Decision",'09_风险与决策'!$L$5:$L$100,"ACCEPTED")&gt;0),0,1)</f>
        <v>1</v>
      </c>
      <c r="AI50" s="10"/>
      <c r="AJ50" s="9" t="s">
        <v>716</v>
      </c>
    </row>
    <row r="51" customFormat="false" ht="52" hidden="false" customHeight="true" outlineLevel="0" collapsed="false">
      <c r="A51" s="9" t="s">
        <v>762</v>
      </c>
      <c r="B51" s="9" t="s">
        <v>733</v>
      </c>
      <c r="C51" s="9" t="s">
        <v>53</v>
      </c>
      <c r="D51" s="9" t="s">
        <v>734</v>
      </c>
      <c r="E51" s="10" t="s">
        <v>763</v>
      </c>
      <c r="F51" s="9" t="s">
        <v>365</v>
      </c>
      <c r="G51" s="10" t="s">
        <v>764</v>
      </c>
      <c r="H51" s="9" t="s">
        <v>452</v>
      </c>
      <c r="I51" s="9" t="s">
        <v>765</v>
      </c>
      <c r="J51" s="10" t="s">
        <v>454</v>
      </c>
      <c r="K51" s="10" t="s">
        <v>455</v>
      </c>
      <c r="L51" s="9" t="s">
        <v>456</v>
      </c>
      <c r="M51" s="9" t="s">
        <v>765</v>
      </c>
      <c r="N51" s="9" t="s">
        <v>754</v>
      </c>
      <c r="O51" s="9" t="s">
        <v>766</v>
      </c>
      <c r="P51" s="9" t="s">
        <v>767</v>
      </c>
      <c r="Q51" s="10" t="s">
        <v>459</v>
      </c>
      <c r="R51" s="9" t="s">
        <v>768</v>
      </c>
      <c r="S51" s="9" t="s">
        <v>351</v>
      </c>
      <c r="T51" s="10" t="s">
        <v>461</v>
      </c>
      <c r="U51" s="10" t="s">
        <v>462</v>
      </c>
      <c r="V51" s="9" t="s">
        <v>354</v>
      </c>
      <c r="W51" s="9" t="s">
        <v>475</v>
      </c>
      <c r="X51" s="9" t="s">
        <v>356</v>
      </c>
      <c r="Y51" s="9" t="s">
        <v>476</v>
      </c>
      <c r="Z51" s="9" t="s">
        <v>7</v>
      </c>
      <c r="AA51" s="10"/>
      <c r="AB51" s="10"/>
      <c r="AC51" s="10"/>
      <c r="AD51" s="10"/>
      <c r="AE51" s="10"/>
      <c r="AF51" s="10"/>
      <c r="AG51" s="10"/>
      <c r="AH51" s="23" t="n">
        <f aca="false">IF(AND($Z51="CANCELLED",COUNTIFS('09_风险与决策'!$A$5:$A$100,$AG51,'09_风险与决策'!$B$5:$B$100,"Decision",'09_风险与决策'!$L$5:$L$100,"ACCEPTED")&gt;0),0,1)</f>
        <v>1</v>
      </c>
      <c r="AI51" s="10"/>
      <c r="AJ51" s="9" t="s">
        <v>769</v>
      </c>
    </row>
    <row r="52" customFormat="false" ht="52" hidden="false" customHeight="true" outlineLevel="0" collapsed="false">
      <c r="A52" s="9" t="s">
        <v>770</v>
      </c>
      <c r="B52" s="9" t="s">
        <v>733</v>
      </c>
      <c r="C52" s="9" t="s">
        <v>53</v>
      </c>
      <c r="D52" s="9" t="s">
        <v>734</v>
      </c>
      <c r="E52" s="10" t="s">
        <v>771</v>
      </c>
      <c r="F52" s="9" t="s">
        <v>772</v>
      </c>
      <c r="G52" s="10" t="s">
        <v>773</v>
      </c>
      <c r="H52" s="9" t="s">
        <v>452</v>
      </c>
      <c r="I52" s="10" t="s">
        <v>774</v>
      </c>
      <c r="J52" s="10" t="s">
        <v>454</v>
      </c>
      <c r="K52" s="10" t="s">
        <v>455</v>
      </c>
      <c r="L52" s="9" t="s">
        <v>456</v>
      </c>
      <c r="M52" s="10" t="s">
        <v>774</v>
      </c>
      <c r="N52" s="9" t="s">
        <v>762</v>
      </c>
      <c r="O52" s="9" t="s">
        <v>766</v>
      </c>
      <c r="P52" s="10" t="s">
        <v>775</v>
      </c>
      <c r="Q52" s="10" t="s">
        <v>459</v>
      </c>
      <c r="R52" s="9" t="s">
        <v>776</v>
      </c>
      <c r="S52" s="9" t="s">
        <v>351</v>
      </c>
      <c r="T52" s="10" t="s">
        <v>461</v>
      </c>
      <c r="U52" s="10" t="s">
        <v>462</v>
      </c>
      <c r="V52" s="9" t="s">
        <v>354</v>
      </c>
      <c r="W52" s="9" t="s">
        <v>463</v>
      </c>
      <c r="X52" s="9" t="s">
        <v>356</v>
      </c>
      <c r="Y52" s="9" t="s">
        <v>357</v>
      </c>
      <c r="Z52" s="9" t="s">
        <v>7</v>
      </c>
      <c r="AA52" s="10"/>
      <c r="AB52" s="10"/>
      <c r="AC52" s="10"/>
      <c r="AD52" s="10"/>
      <c r="AE52" s="10"/>
      <c r="AF52" s="10"/>
      <c r="AG52" s="10"/>
      <c r="AH52" s="23" t="n">
        <f aca="false">IF(AND($Z52="CANCELLED",COUNTIFS('09_风险与决策'!$A$5:$A$100,$AG52,'09_风险与决策'!$B$5:$B$100,"Decision",'09_风险与决策'!$L$5:$L$100,"ACCEPTED")&gt;0),0,1)</f>
        <v>1</v>
      </c>
      <c r="AI52" s="10"/>
      <c r="AJ52" s="9" t="s">
        <v>769</v>
      </c>
    </row>
    <row r="53" customFormat="false" ht="52" hidden="false" customHeight="true" outlineLevel="0" collapsed="false">
      <c r="A53" s="9" t="s">
        <v>777</v>
      </c>
      <c r="B53" s="9" t="s">
        <v>733</v>
      </c>
      <c r="C53" s="9" t="s">
        <v>53</v>
      </c>
      <c r="D53" s="9" t="s">
        <v>734</v>
      </c>
      <c r="E53" s="10" t="s">
        <v>778</v>
      </c>
      <c r="F53" s="9" t="s">
        <v>408</v>
      </c>
      <c r="G53" s="10" t="s">
        <v>779</v>
      </c>
      <c r="H53" s="9" t="s">
        <v>452</v>
      </c>
      <c r="I53" s="9" t="s">
        <v>780</v>
      </c>
      <c r="J53" s="10" t="s">
        <v>454</v>
      </c>
      <c r="K53" s="10" t="s">
        <v>455</v>
      </c>
      <c r="L53" s="9" t="s">
        <v>456</v>
      </c>
      <c r="M53" s="9" t="s">
        <v>780</v>
      </c>
      <c r="N53" s="9" t="s">
        <v>770</v>
      </c>
      <c r="O53" s="9" t="s">
        <v>781</v>
      </c>
      <c r="P53" s="9" t="s">
        <v>782</v>
      </c>
      <c r="Q53" s="10" t="s">
        <v>459</v>
      </c>
      <c r="R53" s="9" t="s">
        <v>783</v>
      </c>
      <c r="S53" s="9" t="s">
        <v>351</v>
      </c>
      <c r="T53" s="10" t="s">
        <v>461</v>
      </c>
      <c r="U53" s="10" t="s">
        <v>462</v>
      </c>
      <c r="V53" s="9" t="s">
        <v>354</v>
      </c>
      <c r="W53" s="9" t="s">
        <v>475</v>
      </c>
      <c r="X53" s="9" t="s">
        <v>356</v>
      </c>
      <c r="Y53" s="9" t="s">
        <v>357</v>
      </c>
      <c r="Z53" s="9" t="s">
        <v>7</v>
      </c>
      <c r="AA53" s="10"/>
      <c r="AB53" s="10"/>
      <c r="AC53" s="10"/>
      <c r="AD53" s="10"/>
      <c r="AE53" s="10"/>
      <c r="AF53" s="10"/>
      <c r="AG53" s="10"/>
      <c r="AH53" s="23" t="n">
        <f aca="false">IF(AND($Z53="CANCELLED",COUNTIFS('09_风险与决策'!$A$5:$A$100,$AG53,'09_风险与决策'!$B$5:$B$100,"Decision",'09_风险与决策'!$L$5:$L$100,"ACCEPTED")&gt;0),0,1)</f>
        <v>1</v>
      </c>
      <c r="AI53" s="10"/>
      <c r="AJ53" s="9" t="s">
        <v>784</v>
      </c>
    </row>
    <row r="54" customFormat="false" ht="52" hidden="false" customHeight="true" outlineLevel="0" collapsed="false">
      <c r="A54" s="9" t="s">
        <v>785</v>
      </c>
      <c r="B54" s="9" t="s">
        <v>786</v>
      </c>
      <c r="C54" s="9" t="s">
        <v>55</v>
      </c>
      <c r="D54" s="9" t="s">
        <v>787</v>
      </c>
      <c r="E54" s="10" t="s">
        <v>788</v>
      </c>
      <c r="F54" s="9" t="s">
        <v>469</v>
      </c>
      <c r="G54" s="10" t="s">
        <v>789</v>
      </c>
      <c r="H54" s="9" t="s">
        <v>790</v>
      </c>
      <c r="I54" s="10" t="s">
        <v>789</v>
      </c>
      <c r="J54" s="10" t="s">
        <v>791</v>
      </c>
      <c r="K54" s="10" t="s">
        <v>792</v>
      </c>
      <c r="L54" s="9" t="s">
        <v>793</v>
      </c>
      <c r="M54" s="10" t="s">
        <v>789</v>
      </c>
      <c r="N54" s="9" t="s">
        <v>777</v>
      </c>
      <c r="O54" s="9" t="s">
        <v>794</v>
      </c>
      <c r="P54" s="10" t="s">
        <v>795</v>
      </c>
      <c r="Q54" s="10" t="s">
        <v>796</v>
      </c>
      <c r="R54" s="9" t="s">
        <v>797</v>
      </c>
      <c r="S54" s="9" t="s">
        <v>351</v>
      </c>
      <c r="T54" s="10" t="s">
        <v>798</v>
      </c>
      <c r="U54" s="10" t="s">
        <v>799</v>
      </c>
      <c r="V54" s="9" t="s">
        <v>354</v>
      </c>
      <c r="W54" s="9" t="s">
        <v>800</v>
      </c>
      <c r="X54" s="9" t="s">
        <v>356</v>
      </c>
      <c r="Y54" s="9" t="s">
        <v>357</v>
      </c>
      <c r="Z54" s="9" t="s">
        <v>7</v>
      </c>
      <c r="AA54" s="10"/>
      <c r="AB54" s="10"/>
      <c r="AC54" s="10"/>
      <c r="AD54" s="10"/>
      <c r="AE54" s="10"/>
      <c r="AF54" s="10"/>
      <c r="AG54" s="10"/>
      <c r="AH54" s="23" t="n">
        <f aca="false">IF(AND($Z54="CANCELLED",COUNTIFS('09_风险与决策'!$A$5:$A$100,$AG54,'09_风险与决策'!$B$5:$B$100,"Decision",'09_风险与决策'!$L$5:$L$100,"ACCEPTED")&gt;0),0,1)</f>
        <v>1</v>
      </c>
      <c r="AI54" s="10"/>
      <c r="AJ54" s="9" t="s">
        <v>801</v>
      </c>
    </row>
    <row r="55" customFormat="false" ht="52" hidden="false" customHeight="true" outlineLevel="0" collapsed="false">
      <c r="A55" s="9" t="s">
        <v>802</v>
      </c>
      <c r="B55" s="9" t="s">
        <v>786</v>
      </c>
      <c r="C55" s="9" t="s">
        <v>55</v>
      </c>
      <c r="D55" s="9" t="s">
        <v>787</v>
      </c>
      <c r="E55" s="10" t="s">
        <v>803</v>
      </c>
      <c r="F55" s="9" t="s">
        <v>469</v>
      </c>
      <c r="G55" s="10" t="s">
        <v>804</v>
      </c>
      <c r="H55" s="9" t="s">
        <v>790</v>
      </c>
      <c r="I55" s="10" t="s">
        <v>804</v>
      </c>
      <c r="J55" s="10" t="s">
        <v>791</v>
      </c>
      <c r="K55" s="10" t="s">
        <v>792</v>
      </c>
      <c r="L55" s="9" t="s">
        <v>793</v>
      </c>
      <c r="M55" s="10" t="s">
        <v>804</v>
      </c>
      <c r="N55" s="9" t="s">
        <v>785</v>
      </c>
      <c r="O55" s="9" t="s">
        <v>794</v>
      </c>
      <c r="P55" s="10" t="s">
        <v>805</v>
      </c>
      <c r="Q55" s="10" t="s">
        <v>796</v>
      </c>
      <c r="R55" s="9" t="s">
        <v>806</v>
      </c>
      <c r="S55" s="9" t="s">
        <v>351</v>
      </c>
      <c r="T55" s="10" t="s">
        <v>798</v>
      </c>
      <c r="U55" s="10" t="s">
        <v>799</v>
      </c>
      <c r="V55" s="9" t="s">
        <v>354</v>
      </c>
      <c r="W55" s="9" t="s">
        <v>800</v>
      </c>
      <c r="X55" s="9" t="s">
        <v>356</v>
      </c>
      <c r="Y55" s="9" t="s">
        <v>357</v>
      </c>
      <c r="Z55" s="9" t="s">
        <v>7</v>
      </c>
      <c r="AA55" s="10"/>
      <c r="AB55" s="10"/>
      <c r="AC55" s="10"/>
      <c r="AD55" s="10"/>
      <c r="AE55" s="10"/>
      <c r="AF55" s="10"/>
      <c r="AG55" s="10"/>
      <c r="AH55" s="23" t="n">
        <f aca="false">IF(AND($Z55="CANCELLED",COUNTIFS('09_风险与决策'!$A$5:$A$100,$AG55,'09_风险与决策'!$B$5:$B$100,"Decision",'09_风险与决策'!$L$5:$L$100,"ACCEPTED")&gt;0),0,1)</f>
        <v>1</v>
      </c>
      <c r="AI55" s="10"/>
      <c r="AJ55" s="9" t="s">
        <v>807</v>
      </c>
    </row>
    <row r="56" customFormat="false" ht="52" hidden="false" customHeight="true" outlineLevel="0" collapsed="false">
      <c r="A56" s="9" t="s">
        <v>808</v>
      </c>
      <c r="B56" s="9" t="s">
        <v>809</v>
      </c>
      <c r="C56" s="9" t="s">
        <v>55</v>
      </c>
      <c r="D56" s="9" t="s">
        <v>810</v>
      </c>
      <c r="E56" s="10" t="s">
        <v>811</v>
      </c>
      <c r="F56" s="9" t="s">
        <v>339</v>
      </c>
      <c r="G56" s="10" t="s">
        <v>812</v>
      </c>
      <c r="H56" s="9" t="s">
        <v>790</v>
      </c>
      <c r="I56" s="10" t="s">
        <v>812</v>
      </c>
      <c r="J56" s="10" t="s">
        <v>791</v>
      </c>
      <c r="K56" s="10" t="s">
        <v>792</v>
      </c>
      <c r="L56" s="9" t="s">
        <v>793</v>
      </c>
      <c r="M56" s="10" t="s">
        <v>812</v>
      </c>
      <c r="N56" s="9" t="s">
        <v>802</v>
      </c>
      <c r="O56" s="9" t="s">
        <v>794</v>
      </c>
      <c r="P56" s="10" t="s">
        <v>813</v>
      </c>
      <c r="Q56" s="10" t="s">
        <v>796</v>
      </c>
      <c r="R56" s="9" t="s">
        <v>814</v>
      </c>
      <c r="S56" s="9" t="s">
        <v>351</v>
      </c>
      <c r="T56" s="10" t="s">
        <v>798</v>
      </c>
      <c r="U56" s="10" t="s">
        <v>799</v>
      </c>
      <c r="V56" s="9" t="s">
        <v>354</v>
      </c>
      <c r="W56" s="9" t="s">
        <v>800</v>
      </c>
      <c r="X56" s="9" t="s">
        <v>497</v>
      </c>
      <c r="Y56" s="9" t="s">
        <v>423</v>
      </c>
      <c r="Z56" s="9" t="s">
        <v>7</v>
      </c>
      <c r="AA56" s="10"/>
      <c r="AB56" s="10"/>
      <c r="AC56" s="10"/>
      <c r="AD56" s="10"/>
      <c r="AE56" s="10"/>
      <c r="AF56" s="10"/>
      <c r="AG56" s="10"/>
      <c r="AH56" s="23" t="n">
        <f aca="false">IF(AND($Z56="CANCELLED",COUNTIFS('09_风险与决策'!$A$5:$A$100,$AG56,'09_风险与决策'!$B$5:$B$100,"Decision",'09_风险与决策'!$L$5:$L$100,"ACCEPTED")&gt;0),0,1)</f>
        <v>1</v>
      </c>
      <c r="AI56" s="10"/>
      <c r="AJ56" s="9" t="s">
        <v>815</v>
      </c>
    </row>
    <row r="57" customFormat="false" ht="52" hidden="false" customHeight="true" outlineLevel="0" collapsed="false">
      <c r="A57" s="9" t="s">
        <v>816</v>
      </c>
      <c r="B57" s="9" t="s">
        <v>809</v>
      </c>
      <c r="C57" s="9" t="s">
        <v>55</v>
      </c>
      <c r="D57" s="9" t="s">
        <v>810</v>
      </c>
      <c r="E57" s="10" t="s">
        <v>817</v>
      </c>
      <c r="F57" s="9" t="s">
        <v>339</v>
      </c>
      <c r="G57" s="10" t="s">
        <v>818</v>
      </c>
      <c r="H57" s="9" t="s">
        <v>790</v>
      </c>
      <c r="I57" s="10" t="s">
        <v>818</v>
      </c>
      <c r="J57" s="10" t="s">
        <v>791</v>
      </c>
      <c r="K57" s="10" t="s">
        <v>792</v>
      </c>
      <c r="L57" s="9" t="s">
        <v>793</v>
      </c>
      <c r="M57" s="10" t="s">
        <v>818</v>
      </c>
      <c r="N57" s="9" t="s">
        <v>808</v>
      </c>
      <c r="O57" s="9" t="s">
        <v>794</v>
      </c>
      <c r="P57" s="10" t="s">
        <v>819</v>
      </c>
      <c r="Q57" s="10" t="s">
        <v>796</v>
      </c>
      <c r="R57" s="9" t="s">
        <v>820</v>
      </c>
      <c r="S57" s="9" t="s">
        <v>351</v>
      </c>
      <c r="T57" s="10" t="s">
        <v>798</v>
      </c>
      <c r="U57" s="10" t="s">
        <v>799</v>
      </c>
      <c r="V57" s="9" t="s">
        <v>354</v>
      </c>
      <c r="W57" s="9" t="s">
        <v>800</v>
      </c>
      <c r="X57" s="9" t="s">
        <v>497</v>
      </c>
      <c r="Y57" s="9" t="s">
        <v>423</v>
      </c>
      <c r="Z57" s="9" t="s">
        <v>7</v>
      </c>
      <c r="AA57" s="10"/>
      <c r="AB57" s="10"/>
      <c r="AC57" s="10"/>
      <c r="AD57" s="10"/>
      <c r="AE57" s="10"/>
      <c r="AF57" s="10"/>
      <c r="AG57" s="10"/>
      <c r="AH57" s="23" t="n">
        <f aca="false">IF(AND($Z57="CANCELLED",COUNTIFS('09_风险与决策'!$A$5:$A$100,$AG57,'09_风险与决策'!$B$5:$B$100,"Decision",'09_风险与决策'!$L$5:$L$100,"ACCEPTED")&gt;0),0,1)</f>
        <v>1</v>
      </c>
      <c r="AI57" s="10"/>
      <c r="AJ57" s="9" t="s">
        <v>815</v>
      </c>
    </row>
    <row r="58" customFormat="false" ht="52" hidden="false" customHeight="true" outlineLevel="0" collapsed="false">
      <c r="A58" s="9" t="s">
        <v>821</v>
      </c>
      <c r="B58" s="9" t="s">
        <v>809</v>
      </c>
      <c r="C58" s="9" t="s">
        <v>55</v>
      </c>
      <c r="D58" s="9" t="s">
        <v>810</v>
      </c>
      <c r="E58" s="10" t="s">
        <v>822</v>
      </c>
      <c r="F58" s="9" t="s">
        <v>339</v>
      </c>
      <c r="G58" s="10" t="s">
        <v>823</v>
      </c>
      <c r="H58" s="9" t="s">
        <v>790</v>
      </c>
      <c r="I58" s="10" t="s">
        <v>823</v>
      </c>
      <c r="J58" s="10" t="s">
        <v>791</v>
      </c>
      <c r="K58" s="10" t="s">
        <v>792</v>
      </c>
      <c r="L58" s="9" t="s">
        <v>793</v>
      </c>
      <c r="M58" s="10" t="s">
        <v>823</v>
      </c>
      <c r="N58" s="9" t="s">
        <v>816</v>
      </c>
      <c r="O58" s="9" t="s">
        <v>794</v>
      </c>
      <c r="P58" s="10" t="s">
        <v>824</v>
      </c>
      <c r="Q58" s="10" t="s">
        <v>796</v>
      </c>
      <c r="R58" s="9" t="s">
        <v>825</v>
      </c>
      <c r="S58" s="9" t="s">
        <v>351</v>
      </c>
      <c r="T58" s="10" t="s">
        <v>798</v>
      </c>
      <c r="U58" s="10" t="s">
        <v>799</v>
      </c>
      <c r="V58" s="9" t="s">
        <v>354</v>
      </c>
      <c r="W58" s="9" t="s">
        <v>800</v>
      </c>
      <c r="X58" s="9" t="s">
        <v>497</v>
      </c>
      <c r="Y58" s="9" t="s">
        <v>423</v>
      </c>
      <c r="Z58" s="9" t="s">
        <v>7</v>
      </c>
      <c r="AA58" s="10"/>
      <c r="AB58" s="10"/>
      <c r="AC58" s="10"/>
      <c r="AD58" s="10"/>
      <c r="AE58" s="10"/>
      <c r="AF58" s="10"/>
      <c r="AG58" s="10"/>
      <c r="AH58" s="23" t="n">
        <f aca="false">IF(AND($Z58="CANCELLED",COUNTIFS('09_风险与决策'!$A$5:$A$100,$AG58,'09_风险与决策'!$B$5:$B$100,"Decision",'09_风险与决策'!$L$5:$L$100,"ACCEPTED")&gt;0),0,1)</f>
        <v>1</v>
      </c>
      <c r="AI58" s="10"/>
      <c r="AJ58" s="9" t="s">
        <v>815</v>
      </c>
    </row>
    <row r="59" customFormat="false" ht="52" hidden="false" customHeight="true" outlineLevel="0" collapsed="false">
      <c r="A59" s="9" t="s">
        <v>826</v>
      </c>
      <c r="B59" s="9" t="s">
        <v>809</v>
      </c>
      <c r="C59" s="9" t="s">
        <v>55</v>
      </c>
      <c r="D59" s="9" t="s">
        <v>810</v>
      </c>
      <c r="E59" s="10" t="s">
        <v>827</v>
      </c>
      <c r="F59" s="9" t="s">
        <v>339</v>
      </c>
      <c r="G59" s="10" t="s">
        <v>828</v>
      </c>
      <c r="H59" s="9" t="s">
        <v>790</v>
      </c>
      <c r="I59" s="10" t="s">
        <v>828</v>
      </c>
      <c r="J59" s="10" t="s">
        <v>791</v>
      </c>
      <c r="K59" s="10" t="s">
        <v>792</v>
      </c>
      <c r="L59" s="9" t="s">
        <v>793</v>
      </c>
      <c r="M59" s="10" t="s">
        <v>828</v>
      </c>
      <c r="N59" s="9" t="s">
        <v>821</v>
      </c>
      <c r="O59" s="9" t="s">
        <v>794</v>
      </c>
      <c r="P59" s="10" t="s">
        <v>829</v>
      </c>
      <c r="Q59" s="10" t="s">
        <v>796</v>
      </c>
      <c r="R59" s="9" t="s">
        <v>830</v>
      </c>
      <c r="S59" s="9" t="s">
        <v>351</v>
      </c>
      <c r="T59" s="10" t="s">
        <v>798</v>
      </c>
      <c r="U59" s="10" t="s">
        <v>799</v>
      </c>
      <c r="V59" s="9" t="s">
        <v>354</v>
      </c>
      <c r="W59" s="9" t="s">
        <v>800</v>
      </c>
      <c r="X59" s="9" t="s">
        <v>497</v>
      </c>
      <c r="Y59" s="9" t="s">
        <v>423</v>
      </c>
      <c r="Z59" s="9" t="s">
        <v>7</v>
      </c>
      <c r="AA59" s="10"/>
      <c r="AB59" s="10"/>
      <c r="AC59" s="10"/>
      <c r="AD59" s="10"/>
      <c r="AE59" s="10"/>
      <c r="AF59" s="10"/>
      <c r="AG59" s="10"/>
      <c r="AH59" s="23" t="n">
        <f aca="false">IF(AND($Z59="CANCELLED",COUNTIFS('09_风险与决策'!$A$5:$A$100,$AG59,'09_风险与决策'!$B$5:$B$100,"Decision",'09_风险与决策'!$L$5:$L$100,"ACCEPTED")&gt;0),0,1)</f>
        <v>1</v>
      </c>
      <c r="AI59" s="10"/>
      <c r="AJ59" s="9" t="s">
        <v>815</v>
      </c>
    </row>
    <row r="60" customFormat="false" ht="52" hidden="false" customHeight="true" outlineLevel="0" collapsed="false">
      <c r="A60" s="9" t="s">
        <v>831</v>
      </c>
      <c r="B60" s="9" t="s">
        <v>809</v>
      </c>
      <c r="C60" s="9" t="s">
        <v>55</v>
      </c>
      <c r="D60" s="9" t="s">
        <v>810</v>
      </c>
      <c r="E60" s="10" t="s">
        <v>832</v>
      </c>
      <c r="F60" s="9" t="s">
        <v>339</v>
      </c>
      <c r="G60" s="10" t="s">
        <v>833</v>
      </c>
      <c r="H60" s="9" t="s">
        <v>790</v>
      </c>
      <c r="I60" s="10" t="s">
        <v>833</v>
      </c>
      <c r="J60" s="10" t="s">
        <v>791</v>
      </c>
      <c r="K60" s="10" t="s">
        <v>792</v>
      </c>
      <c r="L60" s="9" t="s">
        <v>793</v>
      </c>
      <c r="M60" s="10" t="s">
        <v>833</v>
      </c>
      <c r="N60" s="9" t="s">
        <v>826</v>
      </c>
      <c r="O60" s="9" t="s">
        <v>794</v>
      </c>
      <c r="P60" s="10" t="s">
        <v>834</v>
      </c>
      <c r="Q60" s="10" t="s">
        <v>796</v>
      </c>
      <c r="R60" s="9" t="s">
        <v>835</v>
      </c>
      <c r="S60" s="9" t="s">
        <v>351</v>
      </c>
      <c r="T60" s="10" t="s">
        <v>798</v>
      </c>
      <c r="U60" s="10" t="s">
        <v>799</v>
      </c>
      <c r="V60" s="9" t="s">
        <v>354</v>
      </c>
      <c r="W60" s="9" t="s">
        <v>800</v>
      </c>
      <c r="X60" s="9" t="s">
        <v>497</v>
      </c>
      <c r="Y60" s="9" t="s">
        <v>423</v>
      </c>
      <c r="Z60" s="9" t="s">
        <v>7</v>
      </c>
      <c r="AA60" s="10"/>
      <c r="AB60" s="10"/>
      <c r="AC60" s="10"/>
      <c r="AD60" s="10"/>
      <c r="AE60" s="10"/>
      <c r="AF60" s="10"/>
      <c r="AG60" s="10"/>
      <c r="AH60" s="23" t="n">
        <f aca="false">IF(AND($Z60="CANCELLED",COUNTIFS('09_风险与决策'!$A$5:$A$100,$AG60,'09_风险与决策'!$B$5:$B$100,"Decision",'09_风险与决策'!$L$5:$L$100,"ACCEPTED")&gt;0),0,1)</f>
        <v>1</v>
      </c>
      <c r="AI60" s="10"/>
      <c r="AJ60" s="9" t="s">
        <v>815</v>
      </c>
    </row>
    <row r="61" customFormat="false" ht="52" hidden="false" customHeight="true" outlineLevel="0" collapsed="false">
      <c r="A61" s="9" t="s">
        <v>836</v>
      </c>
      <c r="B61" s="9" t="s">
        <v>837</v>
      </c>
      <c r="C61" s="9" t="s">
        <v>55</v>
      </c>
      <c r="D61" s="9" t="s">
        <v>838</v>
      </c>
      <c r="E61" s="10" t="s">
        <v>839</v>
      </c>
      <c r="F61" s="9" t="s">
        <v>840</v>
      </c>
      <c r="G61" s="10" t="s">
        <v>841</v>
      </c>
      <c r="H61" s="9" t="s">
        <v>790</v>
      </c>
      <c r="I61" s="10" t="s">
        <v>841</v>
      </c>
      <c r="J61" s="10" t="s">
        <v>791</v>
      </c>
      <c r="K61" s="10" t="s">
        <v>792</v>
      </c>
      <c r="L61" s="9" t="s">
        <v>793</v>
      </c>
      <c r="M61" s="10" t="s">
        <v>841</v>
      </c>
      <c r="N61" s="9" t="s">
        <v>831</v>
      </c>
      <c r="O61" s="9" t="s">
        <v>794</v>
      </c>
      <c r="P61" s="10" t="s">
        <v>842</v>
      </c>
      <c r="Q61" s="10" t="s">
        <v>796</v>
      </c>
      <c r="R61" s="9" t="s">
        <v>843</v>
      </c>
      <c r="S61" s="9" t="s">
        <v>351</v>
      </c>
      <c r="T61" s="10" t="s">
        <v>798</v>
      </c>
      <c r="U61" s="10" t="s">
        <v>799</v>
      </c>
      <c r="V61" s="9" t="s">
        <v>354</v>
      </c>
      <c r="W61" s="9" t="s">
        <v>800</v>
      </c>
      <c r="X61" s="9" t="s">
        <v>497</v>
      </c>
      <c r="Y61" s="9" t="s">
        <v>357</v>
      </c>
      <c r="Z61" s="9" t="s">
        <v>7</v>
      </c>
      <c r="AA61" s="10"/>
      <c r="AB61" s="10"/>
      <c r="AC61" s="10"/>
      <c r="AD61" s="10"/>
      <c r="AE61" s="10"/>
      <c r="AF61" s="10"/>
      <c r="AG61" s="10"/>
      <c r="AH61" s="23" t="n">
        <f aca="false">IF(AND($Z61="CANCELLED",COUNTIFS('09_风险与决策'!$A$5:$A$100,$AG61,'09_风险与决策'!$B$5:$B$100,"Decision",'09_风险与决策'!$L$5:$L$100,"ACCEPTED")&gt;0),0,1)</f>
        <v>1</v>
      </c>
      <c r="AI61" s="10"/>
      <c r="AJ61" s="9" t="s">
        <v>815</v>
      </c>
    </row>
    <row r="62" customFormat="false" ht="52" hidden="false" customHeight="true" outlineLevel="0" collapsed="false">
      <c r="A62" s="9" t="s">
        <v>844</v>
      </c>
      <c r="B62" s="9" t="s">
        <v>837</v>
      </c>
      <c r="C62" s="9" t="s">
        <v>55</v>
      </c>
      <c r="D62" s="9" t="s">
        <v>838</v>
      </c>
      <c r="E62" s="10" t="s">
        <v>845</v>
      </c>
      <c r="F62" s="9" t="s">
        <v>846</v>
      </c>
      <c r="G62" s="10" t="s">
        <v>847</v>
      </c>
      <c r="H62" s="9" t="s">
        <v>790</v>
      </c>
      <c r="I62" s="10" t="s">
        <v>847</v>
      </c>
      <c r="J62" s="10" t="s">
        <v>791</v>
      </c>
      <c r="K62" s="10" t="s">
        <v>792</v>
      </c>
      <c r="L62" s="9" t="s">
        <v>793</v>
      </c>
      <c r="M62" s="10" t="s">
        <v>847</v>
      </c>
      <c r="N62" s="9" t="s">
        <v>836</v>
      </c>
      <c r="O62" s="9" t="s">
        <v>794</v>
      </c>
      <c r="P62" s="10" t="s">
        <v>848</v>
      </c>
      <c r="Q62" s="10" t="s">
        <v>796</v>
      </c>
      <c r="R62" s="9" t="s">
        <v>849</v>
      </c>
      <c r="S62" s="9" t="s">
        <v>351</v>
      </c>
      <c r="T62" s="10" t="s">
        <v>798</v>
      </c>
      <c r="U62" s="10" t="s">
        <v>799</v>
      </c>
      <c r="V62" s="9" t="s">
        <v>354</v>
      </c>
      <c r="W62" s="9" t="s">
        <v>800</v>
      </c>
      <c r="X62" s="9" t="s">
        <v>497</v>
      </c>
      <c r="Y62" s="9" t="s">
        <v>423</v>
      </c>
      <c r="Z62" s="9" t="s">
        <v>7</v>
      </c>
      <c r="AA62" s="10"/>
      <c r="AB62" s="10"/>
      <c r="AC62" s="10"/>
      <c r="AD62" s="10"/>
      <c r="AE62" s="10"/>
      <c r="AF62" s="10"/>
      <c r="AG62" s="10"/>
      <c r="AH62" s="23" t="n">
        <f aca="false">IF(AND($Z62="CANCELLED",COUNTIFS('09_风险与决策'!$A$5:$A$100,$AG62,'09_风险与决策'!$B$5:$B$100,"Decision",'09_风险与决策'!$L$5:$L$100,"ACCEPTED")&gt;0),0,1)</f>
        <v>1</v>
      </c>
      <c r="AI62" s="10"/>
      <c r="AJ62" s="9" t="s">
        <v>815</v>
      </c>
    </row>
    <row r="63" customFormat="false" ht="52" hidden="false" customHeight="true" outlineLevel="0" collapsed="false">
      <c r="A63" s="9" t="s">
        <v>850</v>
      </c>
      <c r="B63" s="9" t="s">
        <v>851</v>
      </c>
      <c r="C63" s="9" t="s">
        <v>55</v>
      </c>
      <c r="D63" s="9" t="s">
        <v>852</v>
      </c>
      <c r="E63" s="10" t="s">
        <v>853</v>
      </c>
      <c r="F63" s="9" t="s">
        <v>469</v>
      </c>
      <c r="G63" s="10" t="s">
        <v>854</v>
      </c>
      <c r="H63" s="9" t="s">
        <v>790</v>
      </c>
      <c r="I63" s="10" t="s">
        <v>854</v>
      </c>
      <c r="J63" s="10" t="s">
        <v>791</v>
      </c>
      <c r="K63" s="10" t="s">
        <v>792</v>
      </c>
      <c r="L63" s="9" t="s">
        <v>793</v>
      </c>
      <c r="M63" s="10" t="s">
        <v>854</v>
      </c>
      <c r="N63" s="9" t="s">
        <v>844</v>
      </c>
      <c r="O63" s="9" t="s">
        <v>794</v>
      </c>
      <c r="P63" s="10" t="s">
        <v>855</v>
      </c>
      <c r="Q63" s="10" t="s">
        <v>796</v>
      </c>
      <c r="R63" s="9" t="s">
        <v>856</v>
      </c>
      <c r="S63" s="9" t="s">
        <v>351</v>
      </c>
      <c r="T63" s="10" t="s">
        <v>798</v>
      </c>
      <c r="U63" s="10" t="s">
        <v>799</v>
      </c>
      <c r="V63" s="9" t="s">
        <v>354</v>
      </c>
      <c r="W63" s="9" t="s">
        <v>800</v>
      </c>
      <c r="X63" s="9" t="s">
        <v>497</v>
      </c>
      <c r="Y63" s="9" t="s">
        <v>357</v>
      </c>
      <c r="Z63" s="9" t="s">
        <v>7</v>
      </c>
      <c r="AA63" s="10"/>
      <c r="AB63" s="10"/>
      <c r="AC63" s="10"/>
      <c r="AD63" s="10"/>
      <c r="AE63" s="10"/>
      <c r="AF63" s="10"/>
      <c r="AG63" s="10"/>
      <c r="AH63" s="23" t="n">
        <f aca="false">IF(AND($Z63="CANCELLED",COUNTIFS('09_风险与决策'!$A$5:$A$100,$AG63,'09_风险与决策'!$B$5:$B$100,"Decision",'09_风险与决策'!$L$5:$L$100,"ACCEPTED")&gt;0),0,1)</f>
        <v>1</v>
      </c>
      <c r="AI63" s="10"/>
      <c r="AJ63" s="9" t="s">
        <v>815</v>
      </c>
    </row>
    <row r="64" customFormat="false" ht="52" hidden="false" customHeight="true" outlineLevel="0" collapsed="false">
      <c r="A64" s="9" t="s">
        <v>857</v>
      </c>
      <c r="B64" s="9" t="s">
        <v>851</v>
      </c>
      <c r="C64" s="9" t="s">
        <v>55</v>
      </c>
      <c r="D64" s="9" t="s">
        <v>852</v>
      </c>
      <c r="E64" s="10" t="s">
        <v>858</v>
      </c>
      <c r="F64" s="9" t="s">
        <v>469</v>
      </c>
      <c r="G64" s="10" t="s">
        <v>859</v>
      </c>
      <c r="H64" s="9" t="s">
        <v>790</v>
      </c>
      <c r="I64" s="10" t="s">
        <v>859</v>
      </c>
      <c r="J64" s="10" t="s">
        <v>791</v>
      </c>
      <c r="K64" s="10" t="s">
        <v>792</v>
      </c>
      <c r="L64" s="9" t="s">
        <v>793</v>
      </c>
      <c r="M64" s="10" t="s">
        <v>859</v>
      </c>
      <c r="N64" s="9" t="s">
        <v>850</v>
      </c>
      <c r="O64" s="9" t="s">
        <v>794</v>
      </c>
      <c r="P64" s="10" t="s">
        <v>860</v>
      </c>
      <c r="Q64" s="10" t="s">
        <v>796</v>
      </c>
      <c r="R64" s="9" t="s">
        <v>861</v>
      </c>
      <c r="S64" s="9" t="s">
        <v>351</v>
      </c>
      <c r="T64" s="10" t="s">
        <v>798</v>
      </c>
      <c r="U64" s="10" t="s">
        <v>799</v>
      </c>
      <c r="V64" s="9" t="s">
        <v>354</v>
      </c>
      <c r="W64" s="9" t="s">
        <v>800</v>
      </c>
      <c r="X64" s="9" t="s">
        <v>497</v>
      </c>
      <c r="Y64" s="9" t="s">
        <v>357</v>
      </c>
      <c r="Z64" s="9" t="s">
        <v>7</v>
      </c>
      <c r="AA64" s="10"/>
      <c r="AB64" s="10"/>
      <c r="AC64" s="10"/>
      <c r="AD64" s="10"/>
      <c r="AE64" s="10"/>
      <c r="AF64" s="10"/>
      <c r="AG64" s="10"/>
      <c r="AH64" s="23" t="n">
        <f aca="false">IF(AND($Z64="CANCELLED",COUNTIFS('09_风险与决策'!$A$5:$A$100,$AG64,'09_风险与决策'!$B$5:$B$100,"Decision",'09_风险与决策'!$L$5:$L$100,"ACCEPTED")&gt;0),0,1)</f>
        <v>1</v>
      </c>
      <c r="AI64" s="10"/>
      <c r="AJ64" s="9" t="s">
        <v>815</v>
      </c>
    </row>
    <row r="65" customFormat="false" ht="52" hidden="false" customHeight="true" outlineLevel="0" collapsed="false">
      <c r="A65" s="9" t="s">
        <v>862</v>
      </c>
      <c r="B65" s="9" t="s">
        <v>863</v>
      </c>
      <c r="C65" s="9" t="s">
        <v>55</v>
      </c>
      <c r="D65" s="9" t="s">
        <v>864</v>
      </c>
      <c r="E65" s="10" t="s">
        <v>865</v>
      </c>
      <c r="F65" s="9" t="s">
        <v>709</v>
      </c>
      <c r="G65" s="10" t="s">
        <v>866</v>
      </c>
      <c r="H65" s="9" t="s">
        <v>790</v>
      </c>
      <c r="I65" s="10" t="s">
        <v>866</v>
      </c>
      <c r="J65" s="10" t="s">
        <v>791</v>
      </c>
      <c r="K65" s="10" t="s">
        <v>792</v>
      </c>
      <c r="L65" s="9" t="s">
        <v>793</v>
      </c>
      <c r="M65" s="10" t="s">
        <v>866</v>
      </c>
      <c r="N65" s="9" t="s">
        <v>857</v>
      </c>
      <c r="O65" s="9" t="s">
        <v>794</v>
      </c>
      <c r="P65" s="10" t="s">
        <v>867</v>
      </c>
      <c r="Q65" s="10" t="s">
        <v>796</v>
      </c>
      <c r="R65" s="9" t="s">
        <v>868</v>
      </c>
      <c r="S65" s="9" t="s">
        <v>351</v>
      </c>
      <c r="T65" s="10" t="s">
        <v>798</v>
      </c>
      <c r="U65" s="10" t="s">
        <v>799</v>
      </c>
      <c r="V65" s="9" t="s">
        <v>354</v>
      </c>
      <c r="W65" s="9" t="s">
        <v>800</v>
      </c>
      <c r="X65" s="9" t="s">
        <v>497</v>
      </c>
      <c r="Y65" s="9" t="s">
        <v>423</v>
      </c>
      <c r="Z65" s="9" t="s">
        <v>7</v>
      </c>
      <c r="AA65" s="10"/>
      <c r="AB65" s="10"/>
      <c r="AC65" s="10"/>
      <c r="AD65" s="10"/>
      <c r="AE65" s="10"/>
      <c r="AF65" s="10"/>
      <c r="AG65" s="10"/>
      <c r="AH65" s="23" t="n">
        <f aca="false">IF(AND($Z65="CANCELLED",COUNTIFS('09_风险与决策'!$A$5:$A$100,$AG65,'09_风险与决策'!$B$5:$B$100,"Decision",'09_风险与决策'!$L$5:$L$100,"ACCEPTED")&gt;0),0,1)</f>
        <v>1</v>
      </c>
      <c r="AI65" s="10"/>
      <c r="AJ65" s="9" t="s">
        <v>869</v>
      </c>
    </row>
    <row r="66" customFormat="false" ht="52" hidden="false" customHeight="true" outlineLevel="0" collapsed="false">
      <c r="A66" s="9" t="s">
        <v>870</v>
      </c>
      <c r="B66" s="9" t="s">
        <v>871</v>
      </c>
      <c r="C66" s="9" t="s">
        <v>55</v>
      </c>
      <c r="D66" s="9" t="s">
        <v>872</v>
      </c>
      <c r="E66" s="10" t="s">
        <v>873</v>
      </c>
      <c r="F66" s="9" t="s">
        <v>736</v>
      </c>
      <c r="G66" s="10" t="s">
        <v>874</v>
      </c>
      <c r="H66" s="9" t="s">
        <v>790</v>
      </c>
      <c r="I66" s="10" t="s">
        <v>874</v>
      </c>
      <c r="J66" s="10" t="s">
        <v>791</v>
      </c>
      <c r="K66" s="10" t="s">
        <v>792</v>
      </c>
      <c r="L66" s="9" t="s">
        <v>793</v>
      </c>
      <c r="M66" s="10" t="s">
        <v>874</v>
      </c>
      <c r="N66" s="9" t="s">
        <v>862</v>
      </c>
      <c r="O66" s="9" t="s">
        <v>794</v>
      </c>
      <c r="P66" s="10" t="s">
        <v>875</v>
      </c>
      <c r="Q66" s="10" t="s">
        <v>796</v>
      </c>
      <c r="R66" s="9" t="s">
        <v>876</v>
      </c>
      <c r="S66" s="9" t="s">
        <v>351</v>
      </c>
      <c r="T66" s="10" t="s">
        <v>798</v>
      </c>
      <c r="U66" s="10" t="s">
        <v>799</v>
      </c>
      <c r="V66" s="9" t="s">
        <v>354</v>
      </c>
      <c r="W66" s="9" t="s">
        <v>800</v>
      </c>
      <c r="X66" s="9" t="s">
        <v>356</v>
      </c>
      <c r="Y66" s="9" t="s">
        <v>423</v>
      </c>
      <c r="Z66" s="9" t="s">
        <v>7</v>
      </c>
      <c r="AA66" s="10"/>
      <c r="AB66" s="10"/>
      <c r="AC66" s="10"/>
      <c r="AD66" s="10"/>
      <c r="AE66" s="10"/>
      <c r="AF66" s="10"/>
      <c r="AG66" s="10"/>
      <c r="AH66" s="23" t="n">
        <f aca="false">IF(AND($Z66="CANCELLED",COUNTIFS('09_风险与决策'!$A$5:$A$100,$AG66,'09_风险与决策'!$B$5:$B$100,"Decision",'09_风险与决策'!$L$5:$L$100,"ACCEPTED")&gt;0),0,1)</f>
        <v>1</v>
      </c>
      <c r="AI66" s="10"/>
      <c r="AJ66" s="9" t="s">
        <v>877</v>
      </c>
    </row>
    <row r="67" customFormat="false" ht="52" hidden="false" customHeight="true" outlineLevel="0" collapsed="false">
      <c r="A67" s="9" t="s">
        <v>878</v>
      </c>
      <c r="B67" s="9" t="s">
        <v>871</v>
      </c>
      <c r="C67" s="9" t="s">
        <v>55</v>
      </c>
      <c r="D67" s="9" t="s">
        <v>872</v>
      </c>
      <c r="E67" s="10" t="s">
        <v>879</v>
      </c>
      <c r="F67" s="9" t="s">
        <v>756</v>
      </c>
      <c r="G67" s="10" t="s">
        <v>880</v>
      </c>
      <c r="H67" s="9" t="s">
        <v>790</v>
      </c>
      <c r="I67" s="10" t="s">
        <v>880</v>
      </c>
      <c r="J67" s="10" t="s">
        <v>791</v>
      </c>
      <c r="K67" s="10" t="s">
        <v>792</v>
      </c>
      <c r="L67" s="9" t="s">
        <v>793</v>
      </c>
      <c r="M67" s="10" t="s">
        <v>880</v>
      </c>
      <c r="N67" s="9" t="s">
        <v>870</v>
      </c>
      <c r="O67" s="9" t="s">
        <v>794</v>
      </c>
      <c r="P67" s="10" t="s">
        <v>881</v>
      </c>
      <c r="Q67" s="10" t="s">
        <v>882</v>
      </c>
      <c r="R67" s="9" t="s">
        <v>883</v>
      </c>
      <c r="S67" s="9" t="s">
        <v>351</v>
      </c>
      <c r="T67" s="10" t="s">
        <v>798</v>
      </c>
      <c r="U67" s="10" t="s">
        <v>799</v>
      </c>
      <c r="V67" s="9" t="s">
        <v>354</v>
      </c>
      <c r="W67" s="9" t="s">
        <v>800</v>
      </c>
      <c r="X67" s="9" t="s">
        <v>356</v>
      </c>
      <c r="Y67" s="9" t="s">
        <v>423</v>
      </c>
      <c r="Z67" s="9" t="s">
        <v>7</v>
      </c>
      <c r="AA67" s="10"/>
      <c r="AB67" s="10"/>
      <c r="AC67" s="10"/>
      <c r="AD67" s="10"/>
      <c r="AE67" s="10"/>
      <c r="AF67" s="10"/>
      <c r="AG67" s="10"/>
      <c r="AH67" s="23" t="n">
        <f aca="false">IF(AND($Z67="CANCELLED",COUNTIFS('09_风险与决策'!$A$5:$A$100,$AG67,'09_风险与决策'!$B$5:$B$100,"Decision",'09_风险与决策'!$L$5:$L$100,"ACCEPTED")&gt;0),0,1)</f>
        <v>1</v>
      </c>
      <c r="AI67" s="10"/>
      <c r="AJ67" s="9" t="s">
        <v>884</v>
      </c>
    </row>
    <row r="68" customFormat="false" ht="52" hidden="false" customHeight="true" outlineLevel="0" collapsed="false">
      <c r="A68" s="9" t="s">
        <v>885</v>
      </c>
      <c r="B68" s="9" t="s">
        <v>871</v>
      </c>
      <c r="C68" s="9" t="s">
        <v>55</v>
      </c>
      <c r="D68" s="9" t="s">
        <v>872</v>
      </c>
      <c r="E68" s="10" t="s">
        <v>886</v>
      </c>
      <c r="F68" s="9" t="s">
        <v>365</v>
      </c>
      <c r="G68" s="10" t="s">
        <v>887</v>
      </c>
      <c r="H68" s="9" t="s">
        <v>790</v>
      </c>
      <c r="I68" s="10" t="s">
        <v>887</v>
      </c>
      <c r="J68" s="10" t="s">
        <v>791</v>
      </c>
      <c r="K68" s="10" t="s">
        <v>792</v>
      </c>
      <c r="L68" s="9" t="s">
        <v>793</v>
      </c>
      <c r="M68" s="10" t="s">
        <v>887</v>
      </c>
      <c r="N68" s="9" t="s">
        <v>878</v>
      </c>
      <c r="O68" s="9" t="s">
        <v>794</v>
      </c>
      <c r="P68" s="10" t="s">
        <v>888</v>
      </c>
      <c r="Q68" s="10" t="s">
        <v>796</v>
      </c>
      <c r="R68" s="9" t="s">
        <v>889</v>
      </c>
      <c r="S68" s="9" t="s">
        <v>351</v>
      </c>
      <c r="T68" s="10" t="s">
        <v>798</v>
      </c>
      <c r="U68" s="10" t="s">
        <v>799</v>
      </c>
      <c r="V68" s="9" t="s">
        <v>354</v>
      </c>
      <c r="W68" s="9" t="s">
        <v>378</v>
      </c>
      <c r="X68" s="9" t="s">
        <v>356</v>
      </c>
      <c r="Y68" s="9" t="s">
        <v>357</v>
      </c>
      <c r="Z68" s="9" t="s">
        <v>7</v>
      </c>
      <c r="AA68" s="10"/>
      <c r="AB68" s="10"/>
      <c r="AC68" s="10"/>
      <c r="AD68" s="10"/>
      <c r="AE68" s="10"/>
      <c r="AF68" s="10"/>
      <c r="AG68" s="10"/>
      <c r="AH68" s="23" t="n">
        <f aca="false">IF(AND($Z68="CANCELLED",COUNTIFS('09_风险与决策'!$A$5:$A$100,$AG68,'09_风险与决策'!$B$5:$B$100,"Decision",'09_风险与决策'!$L$5:$L$100,"ACCEPTED")&gt;0),0,1)</f>
        <v>1</v>
      </c>
      <c r="AI68" s="10"/>
      <c r="AJ68" s="9" t="s">
        <v>890</v>
      </c>
    </row>
    <row r="69" customFormat="false" ht="52" hidden="false" customHeight="true" outlineLevel="0" collapsed="false">
      <c r="A69" s="9" t="s">
        <v>891</v>
      </c>
      <c r="B69" s="9" t="s">
        <v>57</v>
      </c>
      <c r="C69" s="9" t="s">
        <v>57</v>
      </c>
      <c r="D69" s="9" t="s">
        <v>892</v>
      </c>
      <c r="E69" s="10" t="s">
        <v>893</v>
      </c>
      <c r="F69" s="9" t="s">
        <v>469</v>
      </c>
      <c r="G69" s="10" t="s">
        <v>227</v>
      </c>
      <c r="H69" s="10" t="s">
        <v>894</v>
      </c>
      <c r="I69" s="10" t="s">
        <v>893</v>
      </c>
      <c r="J69" s="10" t="s">
        <v>231</v>
      </c>
      <c r="K69" s="10" t="s">
        <v>895</v>
      </c>
      <c r="L69" s="9" t="s">
        <v>896</v>
      </c>
      <c r="M69" s="10" t="s">
        <v>893</v>
      </c>
      <c r="N69" s="9" t="s">
        <v>885</v>
      </c>
      <c r="O69" s="10" t="s">
        <v>897</v>
      </c>
      <c r="P69" s="10" t="s">
        <v>898</v>
      </c>
      <c r="Q69" s="10" t="s">
        <v>899</v>
      </c>
      <c r="R69" s="10"/>
      <c r="S69" s="9" t="s">
        <v>900</v>
      </c>
      <c r="T69" s="10" t="s">
        <v>901</v>
      </c>
      <c r="U69" s="10" t="s">
        <v>902</v>
      </c>
      <c r="V69" s="9" t="s">
        <v>354</v>
      </c>
      <c r="W69" s="9" t="s">
        <v>800</v>
      </c>
      <c r="X69" s="9" t="s">
        <v>356</v>
      </c>
      <c r="Y69" s="9" t="s">
        <v>357</v>
      </c>
      <c r="Z69" s="9" t="s">
        <v>7</v>
      </c>
      <c r="AA69" s="10"/>
      <c r="AB69" s="10"/>
      <c r="AC69" s="10"/>
      <c r="AD69" s="10"/>
      <c r="AE69" s="10"/>
      <c r="AF69" s="10"/>
      <c r="AG69" s="10"/>
      <c r="AH69" s="23" t="n">
        <f aca="false">IF(AND($Z69="CANCELLED",COUNTIFS('09_风险与决策'!$A$5:$A$100,$AG69,'09_风险与决策'!$B$5:$B$100,"Decision",'09_风险与决策'!$L$5:$L$100,"ACCEPTED")&gt;0),0,1)</f>
        <v>1</v>
      </c>
      <c r="AI69" s="10"/>
      <c r="AJ69" s="9" t="s">
        <v>903</v>
      </c>
    </row>
    <row r="70" customFormat="false" ht="52" hidden="false" customHeight="true" outlineLevel="0" collapsed="false">
      <c r="A70" s="9" t="s">
        <v>904</v>
      </c>
      <c r="B70" s="9" t="s">
        <v>57</v>
      </c>
      <c r="C70" s="9" t="s">
        <v>57</v>
      </c>
      <c r="D70" s="9" t="s">
        <v>905</v>
      </c>
      <c r="E70" s="10" t="s">
        <v>906</v>
      </c>
      <c r="F70" s="9" t="s">
        <v>303</v>
      </c>
      <c r="G70" s="10" t="s">
        <v>227</v>
      </c>
      <c r="H70" s="10" t="s">
        <v>894</v>
      </c>
      <c r="I70" s="10" t="s">
        <v>906</v>
      </c>
      <c r="J70" s="10" t="s">
        <v>231</v>
      </c>
      <c r="K70" s="10" t="s">
        <v>895</v>
      </c>
      <c r="L70" s="9" t="s">
        <v>896</v>
      </c>
      <c r="M70" s="10" t="s">
        <v>906</v>
      </c>
      <c r="N70" s="9" t="s">
        <v>891</v>
      </c>
      <c r="O70" s="10" t="s">
        <v>907</v>
      </c>
      <c r="P70" s="10" t="s">
        <v>908</v>
      </c>
      <c r="Q70" s="10" t="s">
        <v>899</v>
      </c>
      <c r="R70" s="10"/>
      <c r="S70" s="9" t="s">
        <v>900</v>
      </c>
      <c r="T70" s="10" t="s">
        <v>901</v>
      </c>
      <c r="U70" s="10" t="s">
        <v>902</v>
      </c>
      <c r="V70" s="9" t="s">
        <v>354</v>
      </c>
      <c r="W70" s="9" t="s">
        <v>800</v>
      </c>
      <c r="X70" s="9" t="s">
        <v>497</v>
      </c>
      <c r="Y70" s="9" t="s">
        <v>423</v>
      </c>
      <c r="Z70" s="9" t="s">
        <v>7</v>
      </c>
      <c r="AA70" s="10"/>
      <c r="AB70" s="10"/>
      <c r="AC70" s="10"/>
      <c r="AD70" s="10"/>
      <c r="AE70" s="10"/>
      <c r="AF70" s="10"/>
      <c r="AG70" s="10"/>
      <c r="AH70" s="23" t="n">
        <f aca="false">IF(AND($Z70="CANCELLED",COUNTIFS('09_风险与决策'!$A$5:$A$100,$AG70,'09_风险与决策'!$B$5:$B$100,"Decision",'09_风险与决策'!$L$5:$L$100,"ACCEPTED")&gt;0),0,1)</f>
        <v>1</v>
      </c>
      <c r="AI70" s="10"/>
      <c r="AJ70" s="9" t="s">
        <v>909</v>
      </c>
    </row>
    <row r="71" customFormat="false" ht="52" hidden="false" customHeight="true" outlineLevel="0" collapsed="false">
      <c r="A71" s="9" t="s">
        <v>910</v>
      </c>
      <c r="B71" s="9" t="s">
        <v>57</v>
      </c>
      <c r="C71" s="9" t="s">
        <v>57</v>
      </c>
      <c r="D71" s="9" t="s">
        <v>911</v>
      </c>
      <c r="E71" s="10" t="s">
        <v>912</v>
      </c>
      <c r="F71" s="9" t="s">
        <v>303</v>
      </c>
      <c r="G71" s="10" t="s">
        <v>227</v>
      </c>
      <c r="H71" s="10" t="s">
        <v>894</v>
      </c>
      <c r="I71" s="10" t="s">
        <v>912</v>
      </c>
      <c r="J71" s="10" t="s">
        <v>231</v>
      </c>
      <c r="K71" s="10" t="s">
        <v>895</v>
      </c>
      <c r="L71" s="9" t="s">
        <v>896</v>
      </c>
      <c r="M71" s="10" t="s">
        <v>912</v>
      </c>
      <c r="N71" s="9" t="s">
        <v>904</v>
      </c>
      <c r="O71" s="10" t="s">
        <v>913</v>
      </c>
      <c r="P71" s="10" t="s">
        <v>914</v>
      </c>
      <c r="Q71" s="10" t="s">
        <v>899</v>
      </c>
      <c r="R71" s="10"/>
      <c r="S71" s="9" t="s">
        <v>900</v>
      </c>
      <c r="T71" s="10" t="s">
        <v>901</v>
      </c>
      <c r="U71" s="10" t="s">
        <v>902</v>
      </c>
      <c r="V71" s="9" t="s">
        <v>354</v>
      </c>
      <c r="W71" s="9" t="s">
        <v>800</v>
      </c>
      <c r="X71" s="9" t="s">
        <v>497</v>
      </c>
      <c r="Y71" s="9" t="s">
        <v>423</v>
      </c>
      <c r="Z71" s="9" t="s">
        <v>7</v>
      </c>
      <c r="AA71" s="10"/>
      <c r="AB71" s="10"/>
      <c r="AC71" s="10"/>
      <c r="AD71" s="10"/>
      <c r="AE71" s="10"/>
      <c r="AF71" s="10"/>
      <c r="AG71" s="10"/>
      <c r="AH71" s="23" t="n">
        <f aca="false">IF(AND($Z71="CANCELLED",COUNTIFS('09_风险与决策'!$A$5:$A$100,$AG71,'09_风险与决策'!$B$5:$B$100,"Decision",'09_风险与决策'!$L$5:$L$100,"ACCEPTED")&gt;0),0,1)</f>
        <v>1</v>
      </c>
      <c r="AI71" s="10"/>
      <c r="AJ71" s="9" t="s">
        <v>909</v>
      </c>
    </row>
    <row r="72" customFormat="false" ht="52" hidden="false" customHeight="true" outlineLevel="0" collapsed="false">
      <c r="A72" s="9" t="s">
        <v>915</v>
      </c>
      <c r="B72" s="9" t="s">
        <v>57</v>
      </c>
      <c r="C72" s="9" t="s">
        <v>57</v>
      </c>
      <c r="D72" s="9" t="s">
        <v>916</v>
      </c>
      <c r="E72" s="10" t="s">
        <v>917</v>
      </c>
      <c r="F72" s="9" t="s">
        <v>365</v>
      </c>
      <c r="G72" s="10" t="s">
        <v>227</v>
      </c>
      <c r="H72" s="10" t="s">
        <v>894</v>
      </c>
      <c r="I72" s="10" t="s">
        <v>917</v>
      </c>
      <c r="J72" s="10" t="s">
        <v>231</v>
      </c>
      <c r="K72" s="10" t="s">
        <v>895</v>
      </c>
      <c r="L72" s="9" t="s">
        <v>896</v>
      </c>
      <c r="M72" s="10" t="s">
        <v>917</v>
      </c>
      <c r="N72" s="9" t="s">
        <v>910</v>
      </c>
      <c r="O72" s="10" t="s">
        <v>918</v>
      </c>
      <c r="P72" s="10" t="s">
        <v>919</v>
      </c>
      <c r="Q72" s="10" t="s">
        <v>920</v>
      </c>
      <c r="R72" s="10"/>
      <c r="S72" s="9" t="s">
        <v>900</v>
      </c>
      <c r="T72" s="10" t="s">
        <v>901</v>
      </c>
      <c r="U72" s="10" t="s">
        <v>902</v>
      </c>
      <c r="V72" s="9" t="s">
        <v>354</v>
      </c>
      <c r="W72" s="9" t="s">
        <v>355</v>
      </c>
      <c r="X72" s="9" t="s">
        <v>356</v>
      </c>
      <c r="Y72" s="9" t="s">
        <v>423</v>
      </c>
      <c r="Z72" s="9" t="s">
        <v>7</v>
      </c>
      <c r="AA72" s="10"/>
      <c r="AB72" s="10"/>
      <c r="AC72" s="10"/>
      <c r="AD72" s="10"/>
      <c r="AE72" s="10"/>
      <c r="AF72" s="10"/>
      <c r="AG72" s="10"/>
      <c r="AH72" s="23" t="n">
        <f aca="false">IF(AND($Z72="CANCELLED",COUNTIFS('09_风险与决策'!$A$5:$A$100,$AG72,'09_风险与决策'!$B$5:$B$100,"Decision",'09_风险与决策'!$L$5:$L$100,"ACCEPTED")&gt;0),0,1)</f>
        <v>1</v>
      </c>
      <c r="AI72" s="10"/>
      <c r="AJ72" s="9" t="s">
        <v>921</v>
      </c>
    </row>
    <row r="73" customFormat="false" ht="52" hidden="false" customHeight="true" outlineLevel="0" collapsed="false">
      <c r="A73" s="9" t="s">
        <v>922</v>
      </c>
      <c r="B73" s="9" t="s">
        <v>58</v>
      </c>
      <c r="C73" s="9" t="s">
        <v>58</v>
      </c>
      <c r="D73" s="9" t="s">
        <v>892</v>
      </c>
      <c r="E73" s="10" t="s">
        <v>923</v>
      </c>
      <c r="F73" s="9" t="s">
        <v>469</v>
      </c>
      <c r="G73" s="10" t="s">
        <v>239</v>
      </c>
      <c r="H73" s="10" t="s">
        <v>894</v>
      </c>
      <c r="I73" s="10" t="s">
        <v>923</v>
      </c>
      <c r="J73" s="10" t="s">
        <v>243</v>
      </c>
      <c r="K73" s="10" t="s">
        <v>895</v>
      </c>
      <c r="L73" s="9" t="s">
        <v>924</v>
      </c>
      <c r="M73" s="10" t="s">
        <v>923</v>
      </c>
      <c r="N73" s="9" t="s">
        <v>915</v>
      </c>
      <c r="O73" s="10" t="s">
        <v>897</v>
      </c>
      <c r="P73" s="10" t="s">
        <v>925</v>
      </c>
      <c r="Q73" s="10" t="s">
        <v>899</v>
      </c>
      <c r="R73" s="9" t="s">
        <v>926</v>
      </c>
      <c r="S73" s="9" t="s">
        <v>351</v>
      </c>
      <c r="T73" s="10" t="s">
        <v>927</v>
      </c>
      <c r="U73" s="10" t="s">
        <v>902</v>
      </c>
      <c r="V73" s="9" t="s">
        <v>354</v>
      </c>
      <c r="W73" s="9" t="s">
        <v>800</v>
      </c>
      <c r="X73" s="9" t="s">
        <v>356</v>
      </c>
      <c r="Y73" s="9" t="s">
        <v>357</v>
      </c>
      <c r="Z73" s="9" t="s">
        <v>7</v>
      </c>
      <c r="AA73" s="10"/>
      <c r="AB73" s="10"/>
      <c r="AC73" s="10"/>
      <c r="AD73" s="10"/>
      <c r="AE73" s="10"/>
      <c r="AF73" s="10"/>
      <c r="AG73" s="10"/>
      <c r="AH73" s="23" t="n">
        <f aca="false">IF(AND($Z73="CANCELLED",COUNTIFS('09_风险与决策'!$A$5:$A$100,$AG73,'09_风险与决策'!$B$5:$B$100,"Decision",'09_风险与决策'!$L$5:$L$100,"ACCEPTED")&gt;0),0,1)</f>
        <v>1</v>
      </c>
      <c r="AI73" s="10"/>
      <c r="AJ73" s="9" t="s">
        <v>928</v>
      </c>
    </row>
    <row r="74" customFormat="false" ht="52" hidden="false" customHeight="true" outlineLevel="0" collapsed="false">
      <c r="A74" s="9" t="s">
        <v>929</v>
      </c>
      <c r="B74" s="9" t="s">
        <v>58</v>
      </c>
      <c r="C74" s="9" t="s">
        <v>58</v>
      </c>
      <c r="D74" s="9" t="s">
        <v>905</v>
      </c>
      <c r="E74" s="10" t="s">
        <v>930</v>
      </c>
      <c r="F74" s="9" t="s">
        <v>303</v>
      </c>
      <c r="G74" s="10" t="s">
        <v>239</v>
      </c>
      <c r="H74" s="10" t="s">
        <v>894</v>
      </c>
      <c r="I74" s="10" t="s">
        <v>930</v>
      </c>
      <c r="J74" s="10" t="s">
        <v>243</v>
      </c>
      <c r="K74" s="10" t="s">
        <v>895</v>
      </c>
      <c r="L74" s="9" t="s">
        <v>924</v>
      </c>
      <c r="M74" s="10" t="s">
        <v>930</v>
      </c>
      <c r="N74" s="9" t="s">
        <v>922</v>
      </c>
      <c r="O74" s="10" t="s">
        <v>907</v>
      </c>
      <c r="P74" s="10" t="s">
        <v>931</v>
      </c>
      <c r="Q74" s="10" t="s">
        <v>899</v>
      </c>
      <c r="R74" s="10"/>
      <c r="S74" s="9" t="s">
        <v>900</v>
      </c>
      <c r="T74" s="10" t="s">
        <v>927</v>
      </c>
      <c r="U74" s="10" t="s">
        <v>902</v>
      </c>
      <c r="V74" s="9" t="s">
        <v>354</v>
      </c>
      <c r="W74" s="9" t="s">
        <v>800</v>
      </c>
      <c r="X74" s="9" t="s">
        <v>497</v>
      </c>
      <c r="Y74" s="9" t="s">
        <v>423</v>
      </c>
      <c r="Z74" s="9" t="s">
        <v>7</v>
      </c>
      <c r="AA74" s="10"/>
      <c r="AB74" s="10"/>
      <c r="AC74" s="10"/>
      <c r="AD74" s="10"/>
      <c r="AE74" s="10"/>
      <c r="AF74" s="10"/>
      <c r="AG74" s="10"/>
      <c r="AH74" s="23" t="n">
        <f aca="false">IF(AND($Z74="CANCELLED",COUNTIFS('09_风险与决策'!$A$5:$A$100,$AG74,'09_风险与决策'!$B$5:$B$100,"Decision",'09_风险与决策'!$L$5:$L$100,"ACCEPTED")&gt;0),0,1)</f>
        <v>1</v>
      </c>
      <c r="AI74" s="10"/>
      <c r="AJ74" s="9" t="s">
        <v>932</v>
      </c>
    </row>
    <row r="75" customFormat="false" ht="52" hidden="false" customHeight="true" outlineLevel="0" collapsed="false">
      <c r="A75" s="9" t="s">
        <v>933</v>
      </c>
      <c r="B75" s="9" t="s">
        <v>58</v>
      </c>
      <c r="C75" s="9" t="s">
        <v>58</v>
      </c>
      <c r="D75" s="9" t="s">
        <v>911</v>
      </c>
      <c r="E75" s="10" t="s">
        <v>934</v>
      </c>
      <c r="F75" s="9" t="s">
        <v>303</v>
      </c>
      <c r="G75" s="10" t="s">
        <v>239</v>
      </c>
      <c r="H75" s="10" t="s">
        <v>894</v>
      </c>
      <c r="I75" s="10" t="s">
        <v>934</v>
      </c>
      <c r="J75" s="10" t="s">
        <v>243</v>
      </c>
      <c r="K75" s="10" t="s">
        <v>895</v>
      </c>
      <c r="L75" s="9" t="s">
        <v>924</v>
      </c>
      <c r="M75" s="10" t="s">
        <v>934</v>
      </c>
      <c r="N75" s="9" t="s">
        <v>929</v>
      </c>
      <c r="O75" s="10" t="s">
        <v>913</v>
      </c>
      <c r="P75" s="10" t="s">
        <v>935</v>
      </c>
      <c r="Q75" s="10" t="s">
        <v>899</v>
      </c>
      <c r="R75" s="9" t="s">
        <v>926</v>
      </c>
      <c r="S75" s="9" t="s">
        <v>351</v>
      </c>
      <c r="T75" s="10" t="s">
        <v>927</v>
      </c>
      <c r="U75" s="10" t="s">
        <v>902</v>
      </c>
      <c r="V75" s="9" t="s">
        <v>354</v>
      </c>
      <c r="W75" s="9" t="s">
        <v>800</v>
      </c>
      <c r="X75" s="9" t="s">
        <v>497</v>
      </c>
      <c r="Y75" s="9" t="s">
        <v>423</v>
      </c>
      <c r="Z75" s="9" t="s">
        <v>7</v>
      </c>
      <c r="AA75" s="10"/>
      <c r="AB75" s="10"/>
      <c r="AC75" s="10"/>
      <c r="AD75" s="10"/>
      <c r="AE75" s="10"/>
      <c r="AF75" s="10"/>
      <c r="AG75" s="10"/>
      <c r="AH75" s="23" t="n">
        <f aca="false">IF(AND($Z75="CANCELLED",COUNTIFS('09_风险与决策'!$A$5:$A$100,$AG75,'09_风险与决策'!$B$5:$B$100,"Decision",'09_风险与决策'!$L$5:$L$100,"ACCEPTED")&gt;0),0,1)</f>
        <v>1</v>
      </c>
      <c r="AI75" s="10"/>
      <c r="AJ75" s="9" t="s">
        <v>932</v>
      </c>
    </row>
    <row r="76" customFormat="false" ht="52" hidden="false" customHeight="true" outlineLevel="0" collapsed="false">
      <c r="A76" s="9" t="s">
        <v>936</v>
      </c>
      <c r="B76" s="9" t="s">
        <v>58</v>
      </c>
      <c r="C76" s="9" t="s">
        <v>58</v>
      </c>
      <c r="D76" s="9" t="s">
        <v>916</v>
      </c>
      <c r="E76" s="10" t="s">
        <v>937</v>
      </c>
      <c r="F76" s="9" t="s">
        <v>365</v>
      </c>
      <c r="G76" s="10" t="s">
        <v>239</v>
      </c>
      <c r="H76" s="10" t="s">
        <v>894</v>
      </c>
      <c r="I76" s="10" t="s">
        <v>937</v>
      </c>
      <c r="J76" s="10" t="s">
        <v>243</v>
      </c>
      <c r="K76" s="10" t="s">
        <v>895</v>
      </c>
      <c r="L76" s="9" t="s">
        <v>924</v>
      </c>
      <c r="M76" s="10" t="s">
        <v>937</v>
      </c>
      <c r="N76" s="9" t="s">
        <v>933</v>
      </c>
      <c r="O76" s="10" t="s">
        <v>918</v>
      </c>
      <c r="P76" s="10" t="s">
        <v>938</v>
      </c>
      <c r="Q76" s="10" t="s">
        <v>920</v>
      </c>
      <c r="R76" s="10"/>
      <c r="S76" s="9" t="s">
        <v>900</v>
      </c>
      <c r="T76" s="10" t="s">
        <v>927</v>
      </c>
      <c r="U76" s="10" t="s">
        <v>902</v>
      </c>
      <c r="V76" s="9" t="s">
        <v>354</v>
      </c>
      <c r="W76" s="9" t="s">
        <v>355</v>
      </c>
      <c r="X76" s="9" t="s">
        <v>356</v>
      </c>
      <c r="Y76" s="9" t="s">
        <v>423</v>
      </c>
      <c r="Z76" s="9" t="s">
        <v>7</v>
      </c>
      <c r="AA76" s="10"/>
      <c r="AB76" s="10"/>
      <c r="AC76" s="10"/>
      <c r="AD76" s="10"/>
      <c r="AE76" s="10"/>
      <c r="AF76" s="10"/>
      <c r="AG76" s="10"/>
      <c r="AH76" s="23" t="n">
        <f aca="false">IF(AND($Z76="CANCELLED",COUNTIFS('09_风险与决策'!$A$5:$A$100,$AG76,'09_风险与决策'!$B$5:$B$100,"Decision",'09_风险与决策'!$L$5:$L$100,"ACCEPTED")&gt;0),0,1)</f>
        <v>1</v>
      </c>
      <c r="AI76" s="10"/>
      <c r="AJ76" s="9" t="s">
        <v>939</v>
      </c>
    </row>
    <row r="77" customFormat="false" ht="52" hidden="false" customHeight="true" outlineLevel="0" collapsed="false">
      <c r="A77" s="9" t="s">
        <v>940</v>
      </c>
      <c r="B77" s="9" t="s">
        <v>59</v>
      </c>
      <c r="C77" s="9" t="s">
        <v>59</v>
      </c>
      <c r="D77" s="9" t="s">
        <v>892</v>
      </c>
      <c r="E77" s="10" t="s">
        <v>941</v>
      </c>
      <c r="F77" s="9" t="s">
        <v>469</v>
      </c>
      <c r="G77" s="10" t="s">
        <v>251</v>
      </c>
      <c r="H77" s="10" t="s">
        <v>894</v>
      </c>
      <c r="I77" s="10" t="s">
        <v>941</v>
      </c>
      <c r="J77" s="10" t="s">
        <v>255</v>
      </c>
      <c r="K77" s="10" t="s">
        <v>895</v>
      </c>
      <c r="L77" s="9" t="s">
        <v>942</v>
      </c>
      <c r="M77" s="10" t="s">
        <v>941</v>
      </c>
      <c r="N77" s="9" t="s">
        <v>936</v>
      </c>
      <c r="O77" s="10" t="s">
        <v>897</v>
      </c>
      <c r="P77" s="10" t="s">
        <v>943</v>
      </c>
      <c r="Q77" s="10" t="s">
        <v>899</v>
      </c>
      <c r="R77" s="10"/>
      <c r="S77" s="9" t="s">
        <v>900</v>
      </c>
      <c r="T77" s="10" t="s">
        <v>944</v>
      </c>
      <c r="U77" s="10" t="s">
        <v>902</v>
      </c>
      <c r="V77" s="9" t="s">
        <v>354</v>
      </c>
      <c r="W77" s="9" t="s">
        <v>800</v>
      </c>
      <c r="X77" s="9" t="s">
        <v>356</v>
      </c>
      <c r="Y77" s="9" t="s">
        <v>357</v>
      </c>
      <c r="Z77" s="9" t="s">
        <v>7</v>
      </c>
      <c r="AA77" s="10"/>
      <c r="AB77" s="10"/>
      <c r="AC77" s="10"/>
      <c r="AD77" s="10"/>
      <c r="AE77" s="10"/>
      <c r="AF77" s="10"/>
      <c r="AG77" s="10"/>
      <c r="AH77" s="23" t="n">
        <f aca="false">IF(AND($Z77="CANCELLED",COUNTIFS('09_风险与决策'!$A$5:$A$100,$AG77,'09_风险与决策'!$B$5:$B$100,"Decision",'09_风险与决策'!$L$5:$L$100,"ACCEPTED")&gt;0),0,1)</f>
        <v>1</v>
      </c>
      <c r="AI77" s="10"/>
      <c r="AJ77" s="9" t="s">
        <v>945</v>
      </c>
    </row>
    <row r="78" customFormat="false" ht="52" hidden="false" customHeight="true" outlineLevel="0" collapsed="false">
      <c r="A78" s="9" t="s">
        <v>946</v>
      </c>
      <c r="B78" s="9" t="s">
        <v>59</v>
      </c>
      <c r="C78" s="9" t="s">
        <v>59</v>
      </c>
      <c r="D78" s="9" t="s">
        <v>905</v>
      </c>
      <c r="E78" s="10" t="s">
        <v>947</v>
      </c>
      <c r="F78" s="9" t="s">
        <v>303</v>
      </c>
      <c r="G78" s="10" t="s">
        <v>251</v>
      </c>
      <c r="H78" s="10" t="s">
        <v>894</v>
      </c>
      <c r="I78" s="10" t="s">
        <v>947</v>
      </c>
      <c r="J78" s="10" t="s">
        <v>255</v>
      </c>
      <c r="K78" s="10" t="s">
        <v>895</v>
      </c>
      <c r="L78" s="9" t="s">
        <v>942</v>
      </c>
      <c r="M78" s="10" t="s">
        <v>947</v>
      </c>
      <c r="N78" s="9" t="s">
        <v>940</v>
      </c>
      <c r="O78" s="10" t="s">
        <v>907</v>
      </c>
      <c r="P78" s="10" t="s">
        <v>948</v>
      </c>
      <c r="Q78" s="10" t="s">
        <v>899</v>
      </c>
      <c r="R78" s="10"/>
      <c r="S78" s="9" t="s">
        <v>900</v>
      </c>
      <c r="T78" s="10" t="s">
        <v>944</v>
      </c>
      <c r="U78" s="10" t="s">
        <v>902</v>
      </c>
      <c r="V78" s="9" t="s">
        <v>354</v>
      </c>
      <c r="W78" s="9" t="s">
        <v>800</v>
      </c>
      <c r="X78" s="9" t="s">
        <v>497</v>
      </c>
      <c r="Y78" s="9" t="s">
        <v>423</v>
      </c>
      <c r="Z78" s="9" t="s">
        <v>7</v>
      </c>
      <c r="AA78" s="10"/>
      <c r="AB78" s="10"/>
      <c r="AC78" s="10"/>
      <c r="AD78" s="10"/>
      <c r="AE78" s="10"/>
      <c r="AF78" s="10"/>
      <c r="AG78" s="10"/>
      <c r="AH78" s="23" t="n">
        <f aca="false">IF(AND($Z78="CANCELLED",COUNTIFS('09_风险与决策'!$A$5:$A$100,$AG78,'09_风险与决策'!$B$5:$B$100,"Decision",'09_风险与决策'!$L$5:$L$100,"ACCEPTED")&gt;0),0,1)</f>
        <v>1</v>
      </c>
      <c r="AI78" s="10"/>
      <c r="AJ78" s="9" t="s">
        <v>949</v>
      </c>
    </row>
    <row r="79" customFormat="false" ht="52" hidden="false" customHeight="true" outlineLevel="0" collapsed="false">
      <c r="A79" s="9" t="s">
        <v>950</v>
      </c>
      <c r="B79" s="9" t="s">
        <v>59</v>
      </c>
      <c r="C79" s="9" t="s">
        <v>59</v>
      </c>
      <c r="D79" s="9" t="s">
        <v>911</v>
      </c>
      <c r="E79" s="10" t="s">
        <v>951</v>
      </c>
      <c r="F79" s="9" t="s">
        <v>303</v>
      </c>
      <c r="G79" s="10" t="s">
        <v>251</v>
      </c>
      <c r="H79" s="10" t="s">
        <v>894</v>
      </c>
      <c r="I79" s="10" t="s">
        <v>951</v>
      </c>
      <c r="J79" s="10" t="s">
        <v>255</v>
      </c>
      <c r="K79" s="10" t="s">
        <v>895</v>
      </c>
      <c r="L79" s="9" t="s">
        <v>942</v>
      </c>
      <c r="M79" s="10" t="s">
        <v>951</v>
      </c>
      <c r="N79" s="9" t="s">
        <v>946</v>
      </c>
      <c r="O79" s="10" t="s">
        <v>913</v>
      </c>
      <c r="P79" s="10" t="s">
        <v>952</v>
      </c>
      <c r="Q79" s="10" t="s">
        <v>899</v>
      </c>
      <c r="R79" s="10"/>
      <c r="S79" s="9" t="s">
        <v>900</v>
      </c>
      <c r="T79" s="10" t="s">
        <v>944</v>
      </c>
      <c r="U79" s="10" t="s">
        <v>902</v>
      </c>
      <c r="V79" s="9" t="s">
        <v>354</v>
      </c>
      <c r="W79" s="9" t="s">
        <v>800</v>
      </c>
      <c r="X79" s="9" t="s">
        <v>497</v>
      </c>
      <c r="Y79" s="9" t="s">
        <v>423</v>
      </c>
      <c r="Z79" s="9" t="s">
        <v>7</v>
      </c>
      <c r="AA79" s="10"/>
      <c r="AB79" s="10"/>
      <c r="AC79" s="10"/>
      <c r="AD79" s="10"/>
      <c r="AE79" s="10"/>
      <c r="AF79" s="10"/>
      <c r="AG79" s="10"/>
      <c r="AH79" s="23" t="n">
        <f aca="false">IF(AND($Z79="CANCELLED",COUNTIFS('09_风险与决策'!$A$5:$A$100,$AG79,'09_风险与决策'!$B$5:$B$100,"Decision",'09_风险与决策'!$L$5:$L$100,"ACCEPTED")&gt;0),0,1)</f>
        <v>1</v>
      </c>
      <c r="AI79" s="10"/>
      <c r="AJ79" s="9" t="s">
        <v>949</v>
      </c>
    </row>
    <row r="80" customFormat="false" ht="52" hidden="false" customHeight="true" outlineLevel="0" collapsed="false">
      <c r="A80" s="9" t="s">
        <v>953</v>
      </c>
      <c r="B80" s="9" t="s">
        <v>59</v>
      </c>
      <c r="C80" s="9" t="s">
        <v>59</v>
      </c>
      <c r="D80" s="9" t="s">
        <v>916</v>
      </c>
      <c r="E80" s="10" t="s">
        <v>954</v>
      </c>
      <c r="F80" s="9" t="s">
        <v>365</v>
      </c>
      <c r="G80" s="10" t="s">
        <v>251</v>
      </c>
      <c r="H80" s="10" t="s">
        <v>894</v>
      </c>
      <c r="I80" s="10" t="s">
        <v>954</v>
      </c>
      <c r="J80" s="10" t="s">
        <v>255</v>
      </c>
      <c r="K80" s="10" t="s">
        <v>895</v>
      </c>
      <c r="L80" s="9" t="s">
        <v>942</v>
      </c>
      <c r="M80" s="10" t="s">
        <v>954</v>
      </c>
      <c r="N80" s="9" t="s">
        <v>950</v>
      </c>
      <c r="O80" s="10" t="s">
        <v>918</v>
      </c>
      <c r="P80" s="10" t="s">
        <v>955</v>
      </c>
      <c r="Q80" s="10" t="s">
        <v>920</v>
      </c>
      <c r="R80" s="10"/>
      <c r="S80" s="9" t="s">
        <v>900</v>
      </c>
      <c r="T80" s="10" t="s">
        <v>944</v>
      </c>
      <c r="U80" s="10" t="s">
        <v>902</v>
      </c>
      <c r="V80" s="9" t="s">
        <v>354</v>
      </c>
      <c r="W80" s="9" t="s">
        <v>355</v>
      </c>
      <c r="X80" s="9" t="s">
        <v>356</v>
      </c>
      <c r="Y80" s="9" t="s">
        <v>423</v>
      </c>
      <c r="Z80" s="9" t="s">
        <v>7</v>
      </c>
      <c r="AA80" s="10"/>
      <c r="AB80" s="10"/>
      <c r="AC80" s="10"/>
      <c r="AD80" s="10"/>
      <c r="AE80" s="10"/>
      <c r="AF80" s="10"/>
      <c r="AG80" s="10"/>
      <c r="AH80" s="23" t="n">
        <f aca="false">IF(AND($Z80="CANCELLED",COUNTIFS('09_风险与决策'!$A$5:$A$100,$AG80,'09_风险与决策'!$B$5:$B$100,"Decision",'09_风险与决策'!$L$5:$L$100,"ACCEPTED")&gt;0),0,1)</f>
        <v>1</v>
      </c>
      <c r="AI80" s="10"/>
      <c r="AJ80" s="9" t="s">
        <v>956</v>
      </c>
    </row>
    <row r="81" customFormat="false" ht="52" hidden="false" customHeight="true" outlineLevel="0" collapsed="false">
      <c r="A81" s="9" t="s">
        <v>957</v>
      </c>
      <c r="B81" s="9" t="s">
        <v>60</v>
      </c>
      <c r="C81" s="9" t="s">
        <v>60</v>
      </c>
      <c r="D81" s="9" t="s">
        <v>892</v>
      </c>
      <c r="E81" s="10" t="s">
        <v>958</v>
      </c>
      <c r="F81" s="9" t="s">
        <v>469</v>
      </c>
      <c r="G81" s="10" t="s">
        <v>263</v>
      </c>
      <c r="H81" s="10" t="s">
        <v>894</v>
      </c>
      <c r="I81" s="10" t="s">
        <v>958</v>
      </c>
      <c r="J81" s="10" t="s">
        <v>267</v>
      </c>
      <c r="K81" s="10" t="s">
        <v>895</v>
      </c>
      <c r="L81" s="9" t="s">
        <v>959</v>
      </c>
      <c r="M81" s="10" t="s">
        <v>958</v>
      </c>
      <c r="N81" s="9" t="s">
        <v>953</v>
      </c>
      <c r="O81" s="10" t="s">
        <v>897</v>
      </c>
      <c r="P81" s="10" t="s">
        <v>960</v>
      </c>
      <c r="Q81" s="10" t="s">
        <v>899</v>
      </c>
      <c r="R81" s="10"/>
      <c r="S81" s="9" t="s">
        <v>900</v>
      </c>
      <c r="T81" s="10" t="s">
        <v>961</v>
      </c>
      <c r="U81" s="10" t="s">
        <v>902</v>
      </c>
      <c r="V81" s="9" t="s">
        <v>354</v>
      </c>
      <c r="W81" s="9" t="s">
        <v>800</v>
      </c>
      <c r="X81" s="9" t="s">
        <v>356</v>
      </c>
      <c r="Y81" s="9" t="s">
        <v>357</v>
      </c>
      <c r="Z81" s="9" t="s">
        <v>7</v>
      </c>
      <c r="AA81" s="10"/>
      <c r="AB81" s="10"/>
      <c r="AC81" s="10"/>
      <c r="AD81" s="10"/>
      <c r="AE81" s="10"/>
      <c r="AF81" s="10"/>
      <c r="AG81" s="10"/>
      <c r="AH81" s="23" t="n">
        <f aca="false">IF(AND($Z81="CANCELLED",COUNTIFS('09_风险与决策'!$A$5:$A$100,$AG81,'09_风险与决策'!$B$5:$B$100,"Decision",'09_风险与决策'!$L$5:$L$100,"ACCEPTED")&gt;0),0,1)</f>
        <v>1</v>
      </c>
      <c r="AI81" s="10"/>
      <c r="AJ81" s="9" t="s">
        <v>962</v>
      </c>
    </row>
    <row r="82" customFormat="false" ht="52" hidden="false" customHeight="true" outlineLevel="0" collapsed="false">
      <c r="A82" s="9" t="s">
        <v>963</v>
      </c>
      <c r="B82" s="9" t="s">
        <v>60</v>
      </c>
      <c r="C82" s="9" t="s">
        <v>60</v>
      </c>
      <c r="D82" s="9" t="s">
        <v>905</v>
      </c>
      <c r="E82" s="10" t="s">
        <v>964</v>
      </c>
      <c r="F82" s="9" t="s">
        <v>303</v>
      </c>
      <c r="G82" s="10" t="s">
        <v>263</v>
      </c>
      <c r="H82" s="10" t="s">
        <v>894</v>
      </c>
      <c r="I82" s="10" t="s">
        <v>964</v>
      </c>
      <c r="J82" s="10" t="s">
        <v>267</v>
      </c>
      <c r="K82" s="10" t="s">
        <v>895</v>
      </c>
      <c r="L82" s="9" t="s">
        <v>959</v>
      </c>
      <c r="M82" s="10" t="s">
        <v>964</v>
      </c>
      <c r="N82" s="9" t="s">
        <v>957</v>
      </c>
      <c r="O82" s="10" t="s">
        <v>907</v>
      </c>
      <c r="P82" s="10" t="s">
        <v>965</v>
      </c>
      <c r="Q82" s="10" t="s">
        <v>899</v>
      </c>
      <c r="R82" s="10"/>
      <c r="S82" s="9" t="s">
        <v>900</v>
      </c>
      <c r="T82" s="10" t="s">
        <v>961</v>
      </c>
      <c r="U82" s="10" t="s">
        <v>902</v>
      </c>
      <c r="V82" s="9" t="s">
        <v>354</v>
      </c>
      <c r="W82" s="9" t="s">
        <v>800</v>
      </c>
      <c r="X82" s="9" t="s">
        <v>497</v>
      </c>
      <c r="Y82" s="9" t="s">
        <v>423</v>
      </c>
      <c r="Z82" s="9" t="s">
        <v>7</v>
      </c>
      <c r="AA82" s="10"/>
      <c r="AB82" s="10"/>
      <c r="AC82" s="10"/>
      <c r="AD82" s="10"/>
      <c r="AE82" s="10"/>
      <c r="AF82" s="10"/>
      <c r="AG82" s="10"/>
      <c r="AH82" s="23" t="n">
        <f aca="false">IF(AND($Z82="CANCELLED",COUNTIFS('09_风险与决策'!$A$5:$A$100,$AG82,'09_风险与决策'!$B$5:$B$100,"Decision",'09_风险与决策'!$L$5:$L$100,"ACCEPTED")&gt;0),0,1)</f>
        <v>1</v>
      </c>
      <c r="AI82" s="10"/>
      <c r="AJ82" s="9" t="s">
        <v>966</v>
      </c>
    </row>
    <row r="83" customFormat="false" ht="52" hidden="false" customHeight="true" outlineLevel="0" collapsed="false">
      <c r="A83" s="9" t="s">
        <v>967</v>
      </c>
      <c r="B83" s="9" t="s">
        <v>60</v>
      </c>
      <c r="C83" s="9" t="s">
        <v>60</v>
      </c>
      <c r="D83" s="9" t="s">
        <v>911</v>
      </c>
      <c r="E83" s="10" t="s">
        <v>968</v>
      </c>
      <c r="F83" s="9" t="s">
        <v>303</v>
      </c>
      <c r="G83" s="10" t="s">
        <v>263</v>
      </c>
      <c r="H83" s="10" t="s">
        <v>894</v>
      </c>
      <c r="I83" s="10" t="s">
        <v>968</v>
      </c>
      <c r="J83" s="10" t="s">
        <v>267</v>
      </c>
      <c r="K83" s="10" t="s">
        <v>895</v>
      </c>
      <c r="L83" s="9" t="s">
        <v>959</v>
      </c>
      <c r="M83" s="10" t="s">
        <v>968</v>
      </c>
      <c r="N83" s="9" t="s">
        <v>963</v>
      </c>
      <c r="O83" s="10" t="s">
        <v>913</v>
      </c>
      <c r="P83" s="10" t="s">
        <v>969</v>
      </c>
      <c r="Q83" s="10" t="s">
        <v>899</v>
      </c>
      <c r="R83" s="10"/>
      <c r="S83" s="9" t="s">
        <v>900</v>
      </c>
      <c r="T83" s="10" t="s">
        <v>961</v>
      </c>
      <c r="U83" s="10" t="s">
        <v>902</v>
      </c>
      <c r="V83" s="9" t="s">
        <v>354</v>
      </c>
      <c r="W83" s="9" t="s">
        <v>800</v>
      </c>
      <c r="X83" s="9" t="s">
        <v>497</v>
      </c>
      <c r="Y83" s="9" t="s">
        <v>423</v>
      </c>
      <c r="Z83" s="9" t="s">
        <v>7</v>
      </c>
      <c r="AA83" s="10"/>
      <c r="AB83" s="10"/>
      <c r="AC83" s="10"/>
      <c r="AD83" s="10"/>
      <c r="AE83" s="10"/>
      <c r="AF83" s="10"/>
      <c r="AG83" s="10"/>
      <c r="AH83" s="23" t="n">
        <f aca="false">IF(AND($Z83="CANCELLED",COUNTIFS('09_风险与决策'!$A$5:$A$100,$AG83,'09_风险与决策'!$B$5:$B$100,"Decision",'09_风险与决策'!$L$5:$L$100,"ACCEPTED")&gt;0),0,1)</f>
        <v>1</v>
      </c>
      <c r="AI83" s="10"/>
      <c r="AJ83" s="9" t="s">
        <v>966</v>
      </c>
    </row>
    <row r="84" customFormat="false" ht="52" hidden="false" customHeight="true" outlineLevel="0" collapsed="false">
      <c r="A84" s="9" t="s">
        <v>970</v>
      </c>
      <c r="B84" s="9" t="s">
        <v>60</v>
      </c>
      <c r="C84" s="9" t="s">
        <v>60</v>
      </c>
      <c r="D84" s="9" t="s">
        <v>916</v>
      </c>
      <c r="E84" s="10" t="s">
        <v>971</v>
      </c>
      <c r="F84" s="9" t="s">
        <v>365</v>
      </c>
      <c r="G84" s="10" t="s">
        <v>263</v>
      </c>
      <c r="H84" s="10" t="s">
        <v>894</v>
      </c>
      <c r="I84" s="10" t="s">
        <v>971</v>
      </c>
      <c r="J84" s="10" t="s">
        <v>267</v>
      </c>
      <c r="K84" s="10" t="s">
        <v>895</v>
      </c>
      <c r="L84" s="9" t="s">
        <v>959</v>
      </c>
      <c r="M84" s="10" t="s">
        <v>971</v>
      </c>
      <c r="N84" s="9" t="s">
        <v>967</v>
      </c>
      <c r="O84" s="10" t="s">
        <v>918</v>
      </c>
      <c r="P84" s="10" t="s">
        <v>972</v>
      </c>
      <c r="Q84" s="10" t="s">
        <v>920</v>
      </c>
      <c r="R84" s="10"/>
      <c r="S84" s="9" t="s">
        <v>900</v>
      </c>
      <c r="T84" s="10" t="s">
        <v>961</v>
      </c>
      <c r="U84" s="10" t="s">
        <v>902</v>
      </c>
      <c r="V84" s="9" t="s">
        <v>354</v>
      </c>
      <c r="W84" s="9" t="s">
        <v>355</v>
      </c>
      <c r="X84" s="9" t="s">
        <v>356</v>
      </c>
      <c r="Y84" s="9" t="s">
        <v>423</v>
      </c>
      <c r="Z84" s="9" t="s">
        <v>7</v>
      </c>
      <c r="AA84" s="10"/>
      <c r="AB84" s="10"/>
      <c r="AC84" s="10"/>
      <c r="AD84" s="10"/>
      <c r="AE84" s="10"/>
      <c r="AF84" s="10"/>
      <c r="AG84" s="10"/>
      <c r="AH84" s="23" t="n">
        <f aca="false">IF(AND($Z84="CANCELLED",COUNTIFS('09_风险与决策'!$A$5:$A$100,$AG84,'09_风险与决策'!$B$5:$B$100,"Decision",'09_风险与决策'!$L$5:$L$100,"ACCEPTED")&gt;0),0,1)</f>
        <v>1</v>
      </c>
      <c r="AI84" s="10"/>
      <c r="AJ84" s="9" t="s">
        <v>973</v>
      </c>
    </row>
    <row r="85" customFormat="false" ht="52" hidden="false" customHeight="true" outlineLevel="0" collapsed="false">
      <c r="A85" s="9" t="s">
        <v>974</v>
      </c>
      <c r="B85" s="9" t="s">
        <v>61</v>
      </c>
      <c r="C85" s="9" t="s">
        <v>61</v>
      </c>
      <c r="D85" s="9" t="s">
        <v>892</v>
      </c>
      <c r="E85" s="10" t="s">
        <v>975</v>
      </c>
      <c r="F85" s="9" t="s">
        <v>469</v>
      </c>
      <c r="G85" s="10" t="s">
        <v>275</v>
      </c>
      <c r="H85" s="10" t="s">
        <v>894</v>
      </c>
      <c r="I85" s="10" t="s">
        <v>975</v>
      </c>
      <c r="J85" s="10" t="s">
        <v>279</v>
      </c>
      <c r="K85" s="10" t="s">
        <v>895</v>
      </c>
      <c r="L85" s="9" t="s">
        <v>976</v>
      </c>
      <c r="M85" s="10" t="s">
        <v>975</v>
      </c>
      <c r="N85" s="9" t="s">
        <v>970</v>
      </c>
      <c r="O85" s="10" t="s">
        <v>897</v>
      </c>
      <c r="P85" s="10" t="s">
        <v>977</v>
      </c>
      <c r="Q85" s="10" t="s">
        <v>899</v>
      </c>
      <c r="R85" s="10"/>
      <c r="S85" s="9" t="s">
        <v>900</v>
      </c>
      <c r="T85" s="10" t="s">
        <v>978</v>
      </c>
      <c r="U85" s="10" t="s">
        <v>902</v>
      </c>
      <c r="V85" s="9" t="s">
        <v>354</v>
      </c>
      <c r="W85" s="9" t="s">
        <v>800</v>
      </c>
      <c r="X85" s="9" t="s">
        <v>356</v>
      </c>
      <c r="Y85" s="9" t="s">
        <v>357</v>
      </c>
      <c r="Z85" s="9" t="s">
        <v>7</v>
      </c>
      <c r="AA85" s="10"/>
      <c r="AB85" s="10"/>
      <c r="AC85" s="10"/>
      <c r="AD85" s="10"/>
      <c r="AE85" s="10"/>
      <c r="AF85" s="10"/>
      <c r="AG85" s="10"/>
      <c r="AH85" s="23" t="n">
        <f aca="false">IF(AND($Z85="CANCELLED",COUNTIFS('09_风险与决策'!$A$5:$A$100,$AG85,'09_风险与决策'!$B$5:$B$100,"Decision",'09_风险与决策'!$L$5:$L$100,"ACCEPTED")&gt;0),0,1)</f>
        <v>1</v>
      </c>
      <c r="AI85" s="10"/>
      <c r="AJ85" s="9" t="s">
        <v>979</v>
      </c>
    </row>
    <row r="86" customFormat="false" ht="52" hidden="false" customHeight="true" outlineLevel="0" collapsed="false">
      <c r="A86" s="9" t="s">
        <v>980</v>
      </c>
      <c r="B86" s="9" t="s">
        <v>61</v>
      </c>
      <c r="C86" s="9" t="s">
        <v>61</v>
      </c>
      <c r="D86" s="9" t="s">
        <v>905</v>
      </c>
      <c r="E86" s="10" t="s">
        <v>981</v>
      </c>
      <c r="F86" s="9" t="s">
        <v>303</v>
      </c>
      <c r="G86" s="10" t="s">
        <v>275</v>
      </c>
      <c r="H86" s="10" t="s">
        <v>894</v>
      </c>
      <c r="I86" s="10" t="s">
        <v>981</v>
      </c>
      <c r="J86" s="10" t="s">
        <v>279</v>
      </c>
      <c r="K86" s="10" t="s">
        <v>895</v>
      </c>
      <c r="L86" s="9" t="s">
        <v>976</v>
      </c>
      <c r="M86" s="10" t="s">
        <v>981</v>
      </c>
      <c r="N86" s="9" t="s">
        <v>974</v>
      </c>
      <c r="O86" s="10" t="s">
        <v>907</v>
      </c>
      <c r="P86" s="10" t="s">
        <v>982</v>
      </c>
      <c r="Q86" s="10" t="s">
        <v>899</v>
      </c>
      <c r="R86" s="10"/>
      <c r="S86" s="9" t="s">
        <v>900</v>
      </c>
      <c r="T86" s="10" t="s">
        <v>978</v>
      </c>
      <c r="U86" s="10" t="s">
        <v>902</v>
      </c>
      <c r="V86" s="9" t="s">
        <v>354</v>
      </c>
      <c r="W86" s="9" t="s">
        <v>800</v>
      </c>
      <c r="X86" s="9" t="s">
        <v>497</v>
      </c>
      <c r="Y86" s="9" t="s">
        <v>423</v>
      </c>
      <c r="Z86" s="9" t="s">
        <v>7</v>
      </c>
      <c r="AA86" s="10"/>
      <c r="AB86" s="10"/>
      <c r="AC86" s="10"/>
      <c r="AD86" s="10"/>
      <c r="AE86" s="10"/>
      <c r="AF86" s="10"/>
      <c r="AG86" s="10"/>
      <c r="AH86" s="23" t="n">
        <f aca="false">IF(AND($Z86="CANCELLED",COUNTIFS('09_风险与决策'!$A$5:$A$100,$AG86,'09_风险与决策'!$B$5:$B$100,"Decision",'09_风险与决策'!$L$5:$L$100,"ACCEPTED")&gt;0),0,1)</f>
        <v>1</v>
      </c>
      <c r="AI86" s="10"/>
      <c r="AJ86" s="9" t="s">
        <v>983</v>
      </c>
    </row>
    <row r="87" customFormat="false" ht="52" hidden="false" customHeight="true" outlineLevel="0" collapsed="false">
      <c r="A87" s="9" t="s">
        <v>984</v>
      </c>
      <c r="B87" s="9" t="s">
        <v>61</v>
      </c>
      <c r="C87" s="9" t="s">
        <v>61</v>
      </c>
      <c r="D87" s="9" t="s">
        <v>911</v>
      </c>
      <c r="E87" s="10" t="s">
        <v>985</v>
      </c>
      <c r="F87" s="9" t="s">
        <v>303</v>
      </c>
      <c r="G87" s="10" t="s">
        <v>275</v>
      </c>
      <c r="H87" s="10" t="s">
        <v>894</v>
      </c>
      <c r="I87" s="10" t="s">
        <v>985</v>
      </c>
      <c r="J87" s="10" t="s">
        <v>279</v>
      </c>
      <c r="K87" s="10" t="s">
        <v>895</v>
      </c>
      <c r="L87" s="9" t="s">
        <v>976</v>
      </c>
      <c r="M87" s="10" t="s">
        <v>985</v>
      </c>
      <c r="N87" s="9" t="s">
        <v>980</v>
      </c>
      <c r="O87" s="10" t="s">
        <v>913</v>
      </c>
      <c r="P87" s="10" t="s">
        <v>986</v>
      </c>
      <c r="Q87" s="10" t="s">
        <v>899</v>
      </c>
      <c r="R87" s="10"/>
      <c r="S87" s="9" t="s">
        <v>900</v>
      </c>
      <c r="T87" s="10" t="s">
        <v>978</v>
      </c>
      <c r="U87" s="10" t="s">
        <v>902</v>
      </c>
      <c r="V87" s="9" t="s">
        <v>354</v>
      </c>
      <c r="W87" s="9" t="s">
        <v>800</v>
      </c>
      <c r="X87" s="9" t="s">
        <v>497</v>
      </c>
      <c r="Y87" s="9" t="s">
        <v>423</v>
      </c>
      <c r="Z87" s="9" t="s">
        <v>7</v>
      </c>
      <c r="AA87" s="10"/>
      <c r="AB87" s="10"/>
      <c r="AC87" s="10"/>
      <c r="AD87" s="10"/>
      <c r="AE87" s="10"/>
      <c r="AF87" s="10"/>
      <c r="AG87" s="10"/>
      <c r="AH87" s="23" t="n">
        <f aca="false">IF(AND($Z87="CANCELLED",COUNTIFS('09_风险与决策'!$A$5:$A$100,$AG87,'09_风险与决策'!$B$5:$B$100,"Decision",'09_风险与决策'!$L$5:$L$100,"ACCEPTED")&gt;0),0,1)</f>
        <v>1</v>
      </c>
      <c r="AI87" s="10"/>
      <c r="AJ87" s="9" t="s">
        <v>983</v>
      </c>
    </row>
    <row r="88" customFormat="false" ht="52" hidden="false" customHeight="true" outlineLevel="0" collapsed="false">
      <c r="A88" s="9" t="s">
        <v>987</v>
      </c>
      <c r="B88" s="9" t="s">
        <v>61</v>
      </c>
      <c r="C88" s="9" t="s">
        <v>61</v>
      </c>
      <c r="D88" s="9" t="s">
        <v>916</v>
      </c>
      <c r="E88" s="10" t="s">
        <v>988</v>
      </c>
      <c r="F88" s="9" t="s">
        <v>365</v>
      </c>
      <c r="G88" s="10" t="s">
        <v>275</v>
      </c>
      <c r="H88" s="10" t="s">
        <v>894</v>
      </c>
      <c r="I88" s="10" t="s">
        <v>988</v>
      </c>
      <c r="J88" s="10" t="s">
        <v>279</v>
      </c>
      <c r="K88" s="10" t="s">
        <v>895</v>
      </c>
      <c r="L88" s="9" t="s">
        <v>976</v>
      </c>
      <c r="M88" s="10" t="s">
        <v>988</v>
      </c>
      <c r="N88" s="9" t="s">
        <v>984</v>
      </c>
      <c r="O88" s="10" t="s">
        <v>918</v>
      </c>
      <c r="P88" s="10" t="s">
        <v>989</v>
      </c>
      <c r="Q88" s="10" t="s">
        <v>920</v>
      </c>
      <c r="R88" s="10"/>
      <c r="S88" s="9" t="s">
        <v>900</v>
      </c>
      <c r="T88" s="10" t="s">
        <v>978</v>
      </c>
      <c r="U88" s="10" t="s">
        <v>902</v>
      </c>
      <c r="V88" s="9" t="s">
        <v>354</v>
      </c>
      <c r="W88" s="9" t="s">
        <v>355</v>
      </c>
      <c r="X88" s="9" t="s">
        <v>356</v>
      </c>
      <c r="Y88" s="9" t="s">
        <v>423</v>
      </c>
      <c r="Z88" s="9" t="s">
        <v>7</v>
      </c>
      <c r="AA88" s="10"/>
      <c r="AB88" s="10"/>
      <c r="AC88" s="10"/>
      <c r="AD88" s="10"/>
      <c r="AE88" s="10"/>
      <c r="AF88" s="10"/>
      <c r="AG88" s="10"/>
      <c r="AH88" s="23" t="n">
        <f aca="false">IF(AND($Z88="CANCELLED",COUNTIFS('09_风险与决策'!$A$5:$A$100,$AG88,'09_风险与决策'!$B$5:$B$100,"Decision",'09_风险与决策'!$L$5:$L$100,"ACCEPTED")&gt;0),0,1)</f>
        <v>1</v>
      </c>
      <c r="AI88" s="10"/>
      <c r="AJ88" s="9" t="s">
        <v>990</v>
      </c>
    </row>
    <row r="89" customFormat="false" ht="52" hidden="false" customHeight="true" outlineLevel="0" collapsed="false">
      <c r="A89" s="9" t="s">
        <v>991</v>
      </c>
      <c r="B89" s="9" t="s">
        <v>62</v>
      </c>
      <c r="C89" s="9" t="s">
        <v>62</v>
      </c>
      <c r="D89" s="9" t="s">
        <v>892</v>
      </c>
      <c r="E89" s="10" t="s">
        <v>992</v>
      </c>
      <c r="F89" s="9" t="s">
        <v>469</v>
      </c>
      <c r="G89" s="10" t="s">
        <v>287</v>
      </c>
      <c r="H89" s="10" t="s">
        <v>894</v>
      </c>
      <c r="I89" s="10" t="s">
        <v>992</v>
      </c>
      <c r="J89" s="10" t="s">
        <v>291</v>
      </c>
      <c r="K89" s="10" t="s">
        <v>895</v>
      </c>
      <c r="L89" s="9" t="s">
        <v>993</v>
      </c>
      <c r="M89" s="10" t="s">
        <v>992</v>
      </c>
      <c r="N89" s="9" t="s">
        <v>987</v>
      </c>
      <c r="O89" s="10" t="s">
        <v>897</v>
      </c>
      <c r="P89" s="10" t="s">
        <v>994</v>
      </c>
      <c r="Q89" s="10" t="s">
        <v>899</v>
      </c>
      <c r="R89" s="10"/>
      <c r="S89" s="9" t="s">
        <v>900</v>
      </c>
      <c r="T89" s="10" t="s">
        <v>995</v>
      </c>
      <c r="U89" s="10" t="s">
        <v>902</v>
      </c>
      <c r="V89" s="9" t="s">
        <v>354</v>
      </c>
      <c r="W89" s="9" t="s">
        <v>800</v>
      </c>
      <c r="X89" s="9" t="s">
        <v>356</v>
      </c>
      <c r="Y89" s="9" t="s">
        <v>357</v>
      </c>
      <c r="Z89" s="9" t="s">
        <v>7</v>
      </c>
      <c r="AA89" s="10"/>
      <c r="AB89" s="10"/>
      <c r="AC89" s="10"/>
      <c r="AD89" s="10"/>
      <c r="AE89" s="10"/>
      <c r="AF89" s="10"/>
      <c r="AG89" s="10"/>
      <c r="AH89" s="23" t="n">
        <f aca="false">IF(AND($Z89="CANCELLED",COUNTIFS('09_风险与决策'!$A$5:$A$100,$AG89,'09_风险与决策'!$B$5:$B$100,"Decision",'09_风险与决策'!$L$5:$L$100,"ACCEPTED")&gt;0),0,1)</f>
        <v>1</v>
      </c>
      <c r="AI89" s="10"/>
      <c r="AJ89" s="9" t="s">
        <v>996</v>
      </c>
    </row>
    <row r="90" customFormat="false" ht="52" hidden="false" customHeight="true" outlineLevel="0" collapsed="false">
      <c r="A90" s="9" t="s">
        <v>997</v>
      </c>
      <c r="B90" s="9" t="s">
        <v>62</v>
      </c>
      <c r="C90" s="9" t="s">
        <v>62</v>
      </c>
      <c r="D90" s="9" t="s">
        <v>905</v>
      </c>
      <c r="E90" s="10" t="s">
        <v>998</v>
      </c>
      <c r="F90" s="9" t="s">
        <v>303</v>
      </c>
      <c r="G90" s="10" t="s">
        <v>287</v>
      </c>
      <c r="H90" s="10" t="s">
        <v>894</v>
      </c>
      <c r="I90" s="10" t="s">
        <v>998</v>
      </c>
      <c r="J90" s="10" t="s">
        <v>291</v>
      </c>
      <c r="K90" s="10" t="s">
        <v>895</v>
      </c>
      <c r="L90" s="9" t="s">
        <v>993</v>
      </c>
      <c r="M90" s="10" t="s">
        <v>998</v>
      </c>
      <c r="N90" s="9" t="s">
        <v>991</v>
      </c>
      <c r="O90" s="10" t="s">
        <v>907</v>
      </c>
      <c r="P90" s="10" t="s">
        <v>999</v>
      </c>
      <c r="Q90" s="10" t="s">
        <v>899</v>
      </c>
      <c r="R90" s="10"/>
      <c r="S90" s="9" t="s">
        <v>900</v>
      </c>
      <c r="T90" s="10" t="s">
        <v>995</v>
      </c>
      <c r="U90" s="10" t="s">
        <v>902</v>
      </c>
      <c r="V90" s="9" t="s">
        <v>354</v>
      </c>
      <c r="W90" s="9" t="s">
        <v>800</v>
      </c>
      <c r="X90" s="9" t="s">
        <v>497</v>
      </c>
      <c r="Y90" s="9" t="s">
        <v>423</v>
      </c>
      <c r="Z90" s="9" t="s">
        <v>7</v>
      </c>
      <c r="AA90" s="10"/>
      <c r="AB90" s="10"/>
      <c r="AC90" s="10"/>
      <c r="AD90" s="10"/>
      <c r="AE90" s="10"/>
      <c r="AF90" s="10"/>
      <c r="AG90" s="10"/>
      <c r="AH90" s="23" t="n">
        <f aca="false">IF(AND($Z90="CANCELLED",COUNTIFS('09_风险与决策'!$A$5:$A$100,$AG90,'09_风险与决策'!$B$5:$B$100,"Decision",'09_风险与决策'!$L$5:$L$100,"ACCEPTED")&gt;0),0,1)</f>
        <v>1</v>
      </c>
      <c r="AI90" s="10"/>
      <c r="AJ90" s="9" t="s">
        <v>1000</v>
      </c>
    </row>
    <row r="91" customFormat="false" ht="52" hidden="false" customHeight="true" outlineLevel="0" collapsed="false">
      <c r="A91" s="9" t="s">
        <v>1001</v>
      </c>
      <c r="B91" s="9" t="s">
        <v>62</v>
      </c>
      <c r="C91" s="9" t="s">
        <v>62</v>
      </c>
      <c r="D91" s="9" t="s">
        <v>911</v>
      </c>
      <c r="E91" s="10" t="s">
        <v>1002</v>
      </c>
      <c r="F91" s="9" t="s">
        <v>303</v>
      </c>
      <c r="G91" s="10" t="s">
        <v>287</v>
      </c>
      <c r="H91" s="10" t="s">
        <v>894</v>
      </c>
      <c r="I91" s="10" t="s">
        <v>1002</v>
      </c>
      <c r="J91" s="10" t="s">
        <v>291</v>
      </c>
      <c r="K91" s="10" t="s">
        <v>895</v>
      </c>
      <c r="L91" s="9" t="s">
        <v>993</v>
      </c>
      <c r="M91" s="10" t="s">
        <v>1002</v>
      </c>
      <c r="N91" s="9" t="s">
        <v>997</v>
      </c>
      <c r="O91" s="10" t="s">
        <v>913</v>
      </c>
      <c r="P91" s="10" t="s">
        <v>1003</v>
      </c>
      <c r="Q91" s="10" t="s">
        <v>899</v>
      </c>
      <c r="R91" s="10"/>
      <c r="S91" s="9" t="s">
        <v>900</v>
      </c>
      <c r="T91" s="10" t="s">
        <v>995</v>
      </c>
      <c r="U91" s="10" t="s">
        <v>902</v>
      </c>
      <c r="V91" s="9" t="s">
        <v>354</v>
      </c>
      <c r="W91" s="9" t="s">
        <v>800</v>
      </c>
      <c r="X91" s="9" t="s">
        <v>497</v>
      </c>
      <c r="Y91" s="9" t="s">
        <v>423</v>
      </c>
      <c r="Z91" s="9" t="s">
        <v>7</v>
      </c>
      <c r="AA91" s="10"/>
      <c r="AB91" s="10"/>
      <c r="AC91" s="10"/>
      <c r="AD91" s="10"/>
      <c r="AE91" s="10"/>
      <c r="AF91" s="10"/>
      <c r="AG91" s="10"/>
      <c r="AH91" s="23" t="n">
        <f aca="false">IF(AND($Z91="CANCELLED",COUNTIFS('09_风险与决策'!$A$5:$A$100,$AG91,'09_风险与决策'!$B$5:$B$100,"Decision",'09_风险与决策'!$L$5:$L$100,"ACCEPTED")&gt;0),0,1)</f>
        <v>1</v>
      </c>
      <c r="AI91" s="10"/>
      <c r="AJ91" s="9" t="s">
        <v>1000</v>
      </c>
    </row>
    <row r="92" customFormat="false" ht="52" hidden="false" customHeight="true" outlineLevel="0" collapsed="false">
      <c r="A92" s="9" t="s">
        <v>1004</v>
      </c>
      <c r="B92" s="9" t="s">
        <v>62</v>
      </c>
      <c r="C92" s="9" t="s">
        <v>62</v>
      </c>
      <c r="D92" s="9" t="s">
        <v>916</v>
      </c>
      <c r="E92" s="10" t="s">
        <v>1005</v>
      </c>
      <c r="F92" s="9" t="s">
        <v>365</v>
      </c>
      <c r="G92" s="10" t="s">
        <v>287</v>
      </c>
      <c r="H92" s="10" t="s">
        <v>894</v>
      </c>
      <c r="I92" s="10" t="s">
        <v>1005</v>
      </c>
      <c r="J92" s="10" t="s">
        <v>291</v>
      </c>
      <c r="K92" s="10" t="s">
        <v>895</v>
      </c>
      <c r="L92" s="9" t="s">
        <v>993</v>
      </c>
      <c r="M92" s="10" t="s">
        <v>1005</v>
      </c>
      <c r="N92" s="9" t="s">
        <v>1001</v>
      </c>
      <c r="O92" s="10" t="s">
        <v>918</v>
      </c>
      <c r="P92" s="10" t="s">
        <v>1006</v>
      </c>
      <c r="Q92" s="10" t="s">
        <v>920</v>
      </c>
      <c r="R92" s="10"/>
      <c r="S92" s="9" t="s">
        <v>900</v>
      </c>
      <c r="T92" s="10" t="s">
        <v>995</v>
      </c>
      <c r="U92" s="10" t="s">
        <v>902</v>
      </c>
      <c r="V92" s="9" t="s">
        <v>354</v>
      </c>
      <c r="W92" s="9" t="s">
        <v>355</v>
      </c>
      <c r="X92" s="9" t="s">
        <v>356</v>
      </c>
      <c r="Y92" s="9" t="s">
        <v>423</v>
      </c>
      <c r="Z92" s="9" t="s">
        <v>7</v>
      </c>
      <c r="AA92" s="10"/>
      <c r="AB92" s="10"/>
      <c r="AC92" s="10"/>
      <c r="AD92" s="10"/>
      <c r="AE92" s="10"/>
      <c r="AF92" s="10"/>
      <c r="AG92" s="10"/>
      <c r="AH92" s="23" t="n">
        <f aca="false">IF(AND($Z92="CANCELLED",COUNTIFS('09_风险与决策'!$A$5:$A$100,$AG92,'09_风险与决策'!$B$5:$B$100,"Decision",'09_风险与决策'!$L$5:$L$100,"ACCEPTED")&gt;0),0,1)</f>
        <v>1</v>
      </c>
      <c r="AI92" s="10"/>
      <c r="AJ92" s="9" t="s">
        <v>1007</v>
      </c>
    </row>
  </sheetData>
  <mergeCells count="2">
    <mergeCell ref="A1:AJ1"/>
    <mergeCell ref="A2:AJ2"/>
  </mergeCells>
  <conditionalFormatting sqref="Z5:Z92">
    <cfRule type="containsText" priority="2" operator="containsText" aboveAverage="0" equalAverage="0" bottom="0" percent="0" rank="0" text="BLOCKED" dxfId="29">
      <formula>NOT(ISERROR(SEARCH("BLOCKED",Z5)))</formula>
    </cfRule>
    <cfRule type="containsText" priority="3" operator="containsText" aboveAverage="0" equalAverage="0" bottom="0" percent="0" rank="0" text="REVIEW_FAILED" dxfId="30">
      <formula>NOT(ISERROR(SEARCH("REVIEW_FAILED",Z5)))</formula>
    </cfRule>
    <cfRule type="containsText" priority="4" operator="containsText" aboveAverage="0" equalAverage="0" bottom="0" percent="0" rank="0" text="READY" dxfId="31">
      <formula>NOT(ISERROR(SEARCH("READY",Z5)))</formula>
    </cfRule>
    <cfRule type="containsText" priority="5" operator="containsText" aboveAverage="0" equalAverage="0" bottom="0" percent="0" rank="0" text="IN_PROGRESS" dxfId="32">
      <formula>NOT(ISERROR(SEARCH("IN_PROGRESS",Z5)))</formula>
    </cfRule>
    <cfRule type="containsText" priority="6" operator="containsText" aboveAverage="0" equalAverage="0" bottom="0" percent="0" rank="0" text="IMPLEMENTED_PENDING_REVIEW" dxfId="33">
      <formula>NOT(ISERROR(SEARCH("IMPLEMENTED_PENDING_REVIEW",Z5)))</formula>
    </cfRule>
    <cfRule type="containsText" priority="7" operator="containsText" aboveAverage="0" equalAverage="0" bottom="0" percent="0" rank="0" text="VERIFIED" dxfId="34">
      <formula>NOT(ISERROR(SEARCH("VERIFIED",Z5)))</formula>
    </cfRule>
    <cfRule type="containsText" priority="8" operator="containsText" aboveAverage="0" equalAverage="0" bottom="0" percent="0" rank="0" text="DEFERRED" dxfId="35">
      <formula>NOT(ISERROR(SEARCH("DEFERRED",Z5)))</formula>
    </cfRule>
  </conditionalFormatting>
  <conditionalFormatting sqref="A5:AJ92">
    <cfRule type="expression" priority="9" aboveAverage="0" equalAverage="0" bottom="0" percent="0" rank="0" text="" dxfId="36">
      <formula>$Z5="BLOCKED"</formula>
    </cfRule>
  </conditionalFormatting>
  <dataValidations count="3">
    <dataValidation allowBlank="false" errorStyle="stop" operator="between" showDropDown="false" showErrorMessage="false" showInputMessage="false" sqref="X5:X92" type="list">
      <formula1>"P0,P1,P2,P3"</formula1>
      <formula2>0</formula2>
    </dataValidation>
    <dataValidation allowBlank="false" errorStyle="stop" operator="between" showDropDown="false" showErrorMessage="false" showInputMessage="false" sqref="Y5:Y92" type="list">
      <formula1>"LOW,MEDIUM,HIGH,CRITICAL"</formula1>
      <formula2>0</formula2>
    </dataValidation>
    <dataValidation allowBlank="false" errorStyle="stop" operator="between" showDropDown="false" showErrorMessage="false" showInputMessage="false" sqref="Z5:Z92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2" min="2" style="0" width="14.33"/>
    <col collapsed="false" customWidth="true" hidden="false" outlineLevel="0" max="3" min="3" style="0" width="35.81"/>
    <col collapsed="false" customWidth="true" hidden="false" outlineLevel="0" max="4" min="4" style="0" width="50.13"/>
    <col collapsed="false" customWidth="true" hidden="false" outlineLevel="0" max="5" min="5" style="0" width="45.35"/>
    <col collapsed="false" customWidth="true" hidden="false" outlineLevel="0" max="7" min="6" style="0" width="57.29"/>
    <col collapsed="false" customWidth="true" hidden="false" outlineLevel="0" max="8" min="8" style="0" width="33.42"/>
    <col collapsed="false" customWidth="true" hidden="false" outlineLevel="0" max="9" min="9" style="0" width="19.1"/>
    <col collapsed="false" customWidth="true" hidden="false" outlineLevel="0" max="10" min="10" style="0" width="28.65"/>
    <col collapsed="false" customWidth="true" hidden="false" outlineLevel="0" max="11" min="11" style="0" width="31.03"/>
    <col collapsed="false" customWidth="true" hidden="false" outlineLevel="0" max="12" min="12" style="0" width="57.29"/>
  </cols>
  <sheetData>
    <row r="1" customFormat="false" ht="28" hidden="false" customHeight="true" outlineLevel="0" collapsed="false">
      <c r="A1" s="17" t="s">
        <v>1008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34" hidden="false" customHeight="true" outlineLevel="0" collapsed="false">
      <c r="A2" s="18" t="s">
        <v>1009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customFormat="false" ht="15" hidden="false" customHeight="false" outlineLevel="0" collapsed="false">
      <c r="A4" s="20" t="s">
        <v>302</v>
      </c>
      <c r="B4" s="14" t="s">
        <v>1010</v>
      </c>
      <c r="C4" s="14" t="s">
        <v>1011</v>
      </c>
      <c r="D4" s="14" t="s">
        <v>1012</v>
      </c>
      <c r="E4" s="14" t="s">
        <v>1013</v>
      </c>
      <c r="F4" s="14" t="s">
        <v>1014</v>
      </c>
      <c r="G4" s="14" t="s">
        <v>1015</v>
      </c>
      <c r="H4" s="14" t="s">
        <v>325</v>
      </c>
      <c r="I4" s="14" t="s">
        <v>1016</v>
      </c>
      <c r="J4" s="14" t="s">
        <v>1017</v>
      </c>
      <c r="K4" s="14" t="s">
        <v>322</v>
      </c>
      <c r="L4" s="21" t="s">
        <v>1018</v>
      </c>
    </row>
    <row r="5" customFormat="false" ht="38" hidden="false" customHeight="true" outlineLevel="0" collapsed="false">
      <c r="A5" s="7" t="s">
        <v>51</v>
      </c>
      <c r="B5" s="7" t="s">
        <v>361</v>
      </c>
      <c r="C5" s="8" t="s">
        <v>1019</v>
      </c>
      <c r="D5" s="7" t="s">
        <v>336</v>
      </c>
      <c r="E5" s="7" t="s">
        <v>350</v>
      </c>
      <c r="F5" s="8" t="s">
        <v>1020</v>
      </c>
      <c r="G5" s="8" t="s">
        <v>1021</v>
      </c>
      <c r="H5" s="7" t="s">
        <v>30</v>
      </c>
      <c r="I5" s="7" t="s">
        <v>380</v>
      </c>
      <c r="J5" s="7" t="s">
        <v>402</v>
      </c>
      <c r="K5" s="7" t="s">
        <v>1022</v>
      </c>
      <c r="L5" s="7" t="s">
        <v>1023</v>
      </c>
    </row>
    <row r="6" customFormat="false" ht="38" hidden="false" customHeight="true" outlineLevel="0" collapsed="false">
      <c r="A6" s="9" t="s">
        <v>51</v>
      </c>
      <c r="B6" s="9" t="s">
        <v>1024</v>
      </c>
      <c r="C6" s="10" t="s">
        <v>1025</v>
      </c>
      <c r="D6" s="9" t="s">
        <v>362</v>
      </c>
      <c r="E6" s="9" t="s">
        <v>375</v>
      </c>
      <c r="F6" s="10" t="s">
        <v>1026</v>
      </c>
      <c r="G6" s="10" t="s">
        <v>1027</v>
      </c>
      <c r="H6" s="9" t="s">
        <v>30</v>
      </c>
      <c r="I6" s="9" t="s">
        <v>380</v>
      </c>
      <c r="J6" s="9" t="s">
        <v>378</v>
      </c>
      <c r="K6" s="9" t="s">
        <v>1028</v>
      </c>
      <c r="L6" s="9" t="s">
        <v>1029</v>
      </c>
    </row>
    <row r="7" customFormat="false" ht="38" hidden="false" customHeight="true" outlineLevel="0" collapsed="false">
      <c r="A7" s="9" t="s">
        <v>51</v>
      </c>
      <c r="B7" s="9" t="s">
        <v>1030</v>
      </c>
      <c r="C7" s="10" t="s">
        <v>1031</v>
      </c>
      <c r="D7" s="9" t="s">
        <v>362</v>
      </c>
      <c r="E7" s="9" t="s">
        <v>375</v>
      </c>
      <c r="F7" s="10" t="s">
        <v>1032</v>
      </c>
      <c r="G7" s="10" t="s">
        <v>1033</v>
      </c>
      <c r="H7" s="9" t="s">
        <v>30</v>
      </c>
      <c r="I7" s="9" t="s">
        <v>380</v>
      </c>
      <c r="J7" s="9" t="s">
        <v>378</v>
      </c>
      <c r="K7" s="9" t="s">
        <v>1028</v>
      </c>
      <c r="L7" s="9" t="s">
        <v>1034</v>
      </c>
    </row>
    <row r="8" customFormat="false" ht="38" hidden="false" customHeight="true" outlineLevel="0" collapsed="false">
      <c r="A8" s="9" t="s">
        <v>51</v>
      </c>
      <c r="B8" s="9" t="s">
        <v>1035</v>
      </c>
      <c r="C8" s="10" t="s">
        <v>1036</v>
      </c>
      <c r="D8" s="9" t="s">
        <v>362</v>
      </c>
      <c r="E8" s="9" t="s">
        <v>375</v>
      </c>
      <c r="F8" s="10" t="s">
        <v>1037</v>
      </c>
      <c r="G8" s="10" t="s">
        <v>1038</v>
      </c>
      <c r="H8" s="9" t="s">
        <v>30</v>
      </c>
      <c r="I8" s="9" t="s">
        <v>380</v>
      </c>
      <c r="J8" s="9" t="s">
        <v>378</v>
      </c>
      <c r="K8" s="9" t="s">
        <v>1028</v>
      </c>
      <c r="L8" s="9" t="s">
        <v>1039</v>
      </c>
    </row>
    <row r="9" customFormat="false" ht="38" hidden="false" customHeight="true" outlineLevel="0" collapsed="false">
      <c r="A9" s="9" t="s">
        <v>51</v>
      </c>
      <c r="B9" s="9" t="s">
        <v>1040</v>
      </c>
      <c r="C9" s="10" t="s">
        <v>1041</v>
      </c>
      <c r="D9" s="9" t="s">
        <v>362</v>
      </c>
      <c r="E9" s="9" t="s">
        <v>375</v>
      </c>
      <c r="F9" s="10" t="s">
        <v>1042</v>
      </c>
      <c r="G9" s="10" t="s">
        <v>1043</v>
      </c>
      <c r="H9" s="9" t="s">
        <v>30</v>
      </c>
      <c r="I9" s="9" t="s">
        <v>380</v>
      </c>
      <c r="J9" s="9" t="s">
        <v>378</v>
      </c>
      <c r="K9" s="9" t="s">
        <v>1028</v>
      </c>
      <c r="L9" s="9" t="s">
        <v>1044</v>
      </c>
    </row>
    <row r="10" customFormat="false" ht="38" hidden="false" customHeight="true" outlineLevel="0" collapsed="false">
      <c r="A10" s="9" t="s">
        <v>51</v>
      </c>
      <c r="B10" s="9" t="s">
        <v>1045</v>
      </c>
      <c r="C10" s="10" t="s">
        <v>1046</v>
      </c>
      <c r="D10" s="9" t="s">
        <v>362</v>
      </c>
      <c r="E10" s="9" t="s">
        <v>375</v>
      </c>
      <c r="F10" s="10" t="s">
        <v>1047</v>
      </c>
      <c r="G10" s="10" t="s">
        <v>1048</v>
      </c>
      <c r="H10" s="9" t="s">
        <v>30</v>
      </c>
      <c r="I10" s="9" t="s">
        <v>380</v>
      </c>
      <c r="J10" s="9" t="s">
        <v>378</v>
      </c>
      <c r="K10" s="9" t="s">
        <v>1028</v>
      </c>
      <c r="L10" s="9" t="s">
        <v>1049</v>
      </c>
    </row>
    <row r="11" customFormat="false" ht="38" hidden="false" customHeight="true" outlineLevel="0" collapsed="false">
      <c r="A11" s="9" t="s">
        <v>51</v>
      </c>
      <c r="B11" s="9" t="s">
        <v>404</v>
      </c>
      <c r="C11" s="10" t="s">
        <v>1050</v>
      </c>
      <c r="D11" s="9" t="s">
        <v>1051</v>
      </c>
      <c r="E11" s="9" t="s">
        <v>1052</v>
      </c>
      <c r="F11" s="10" t="s">
        <v>1053</v>
      </c>
      <c r="G11" s="10" t="s">
        <v>1054</v>
      </c>
      <c r="H11" s="9" t="s">
        <v>30</v>
      </c>
      <c r="I11" s="9" t="s">
        <v>11</v>
      </c>
      <c r="J11" s="9" t="s">
        <v>1055</v>
      </c>
      <c r="K11" s="9" t="s">
        <v>1028</v>
      </c>
      <c r="L11" s="9" t="s">
        <v>1056</v>
      </c>
    </row>
    <row r="12" customFormat="false" ht="38" hidden="false" customHeight="true" outlineLevel="0" collapsed="false">
      <c r="A12" s="9" t="s">
        <v>53</v>
      </c>
      <c r="B12" s="9" t="s">
        <v>466</v>
      </c>
      <c r="C12" s="10" t="s">
        <v>1019</v>
      </c>
      <c r="D12" s="9" t="s">
        <v>446</v>
      </c>
      <c r="E12" s="9" t="s">
        <v>460</v>
      </c>
      <c r="F12" s="10" t="s">
        <v>1020</v>
      </c>
      <c r="G12" s="10" t="s">
        <v>1021</v>
      </c>
      <c r="H12" s="9" t="s">
        <v>23</v>
      </c>
      <c r="I12" s="10"/>
      <c r="J12" s="10"/>
      <c r="K12" s="10"/>
      <c r="L12" s="19" t="s">
        <v>1057</v>
      </c>
    </row>
    <row r="13" customFormat="false" ht="38" hidden="false" customHeight="true" outlineLevel="0" collapsed="false">
      <c r="A13" s="9" t="s">
        <v>53</v>
      </c>
      <c r="B13" s="9" t="s">
        <v>478</v>
      </c>
      <c r="C13" s="10" t="s">
        <v>1025</v>
      </c>
      <c r="D13" s="9" t="s">
        <v>1058</v>
      </c>
      <c r="E13" s="9" t="s">
        <v>1059</v>
      </c>
      <c r="F13" s="10" t="s">
        <v>1026</v>
      </c>
      <c r="G13" s="10" t="s">
        <v>1027</v>
      </c>
      <c r="H13" s="9" t="s">
        <v>16</v>
      </c>
      <c r="I13" s="10"/>
      <c r="J13" s="10"/>
      <c r="K13" s="10"/>
      <c r="L13" s="19" t="s">
        <v>1060</v>
      </c>
    </row>
    <row r="14" customFormat="false" ht="38" hidden="false" customHeight="true" outlineLevel="0" collapsed="false">
      <c r="A14" s="9" t="s">
        <v>53</v>
      </c>
      <c r="B14" s="9" t="s">
        <v>509</v>
      </c>
      <c r="C14" s="10" t="s">
        <v>1031</v>
      </c>
      <c r="D14" s="9" t="s">
        <v>1061</v>
      </c>
      <c r="E14" s="9" t="s">
        <v>1062</v>
      </c>
      <c r="F14" s="10" t="s">
        <v>1032</v>
      </c>
      <c r="G14" s="10" t="s">
        <v>1033</v>
      </c>
      <c r="H14" s="9" t="s">
        <v>16</v>
      </c>
      <c r="I14" s="10"/>
      <c r="J14" s="10"/>
      <c r="K14" s="10"/>
      <c r="L14" s="19" t="s">
        <v>1063</v>
      </c>
    </row>
    <row r="15" customFormat="false" ht="38" hidden="false" customHeight="true" outlineLevel="0" collapsed="false">
      <c r="A15" s="9" t="s">
        <v>53</v>
      </c>
      <c r="B15" s="9" t="s">
        <v>670</v>
      </c>
      <c r="C15" s="10" t="s">
        <v>1036</v>
      </c>
      <c r="D15" s="9" t="s">
        <v>1064</v>
      </c>
      <c r="E15" s="9" t="s">
        <v>1065</v>
      </c>
      <c r="F15" s="10" t="s">
        <v>1037</v>
      </c>
      <c r="G15" s="10" t="s">
        <v>1038</v>
      </c>
      <c r="H15" s="9" t="s">
        <v>7</v>
      </c>
      <c r="I15" s="10"/>
      <c r="J15" s="10"/>
      <c r="K15" s="10"/>
      <c r="L15" s="10"/>
    </row>
    <row r="16" customFormat="false" ht="38" hidden="false" customHeight="true" outlineLevel="0" collapsed="false">
      <c r="A16" s="9" t="s">
        <v>53</v>
      </c>
      <c r="B16" s="9" t="s">
        <v>716</v>
      </c>
      <c r="C16" s="10" t="s">
        <v>1041</v>
      </c>
      <c r="D16" s="9" t="s">
        <v>1066</v>
      </c>
      <c r="E16" s="9" t="s">
        <v>1067</v>
      </c>
      <c r="F16" s="10" t="s">
        <v>1042</v>
      </c>
      <c r="G16" s="10" t="s">
        <v>1043</v>
      </c>
      <c r="H16" s="9" t="s">
        <v>7</v>
      </c>
      <c r="I16" s="10"/>
      <c r="J16" s="10"/>
      <c r="K16" s="10"/>
      <c r="L16" s="10"/>
    </row>
    <row r="17" customFormat="false" ht="38" hidden="false" customHeight="true" outlineLevel="0" collapsed="false">
      <c r="A17" s="9" t="s">
        <v>53</v>
      </c>
      <c r="B17" s="9" t="s">
        <v>769</v>
      </c>
      <c r="C17" s="10" t="s">
        <v>1046</v>
      </c>
      <c r="D17" s="9" t="s">
        <v>1068</v>
      </c>
      <c r="E17" s="9" t="s">
        <v>1069</v>
      </c>
      <c r="F17" s="10" t="s">
        <v>1047</v>
      </c>
      <c r="G17" s="10" t="s">
        <v>1048</v>
      </c>
      <c r="H17" s="9" t="s">
        <v>7</v>
      </c>
      <c r="I17" s="10"/>
      <c r="J17" s="10"/>
      <c r="K17" s="10"/>
      <c r="L17" s="10"/>
    </row>
    <row r="18" customFormat="false" ht="38" hidden="false" customHeight="true" outlineLevel="0" collapsed="false">
      <c r="A18" s="9" t="s">
        <v>53</v>
      </c>
      <c r="B18" s="9" t="s">
        <v>784</v>
      </c>
      <c r="C18" s="10" t="s">
        <v>1050</v>
      </c>
      <c r="D18" s="9" t="s">
        <v>777</v>
      </c>
      <c r="E18" s="9" t="s">
        <v>783</v>
      </c>
      <c r="F18" s="10" t="s">
        <v>1053</v>
      </c>
      <c r="G18" s="10" t="s">
        <v>1054</v>
      </c>
      <c r="H18" s="9" t="s">
        <v>7</v>
      </c>
      <c r="I18" s="10"/>
      <c r="J18" s="10"/>
      <c r="K18" s="10"/>
      <c r="L18" s="10"/>
    </row>
    <row r="19" customFormat="false" ht="38" hidden="false" customHeight="true" outlineLevel="0" collapsed="false">
      <c r="A19" s="9" t="s">
        <v>55</v>
      </c>
      <c r="B19" s="9" t="s">
        <v>1070</v>
      </c>
      <c r="C19" s="10" t="s">
        <v>1019</v>
      </c>
      <c r="D19" s="9" t="s">
        <v>785</v>
      </c>
      <c r="E19" s="9" t="s">
        <v>797</v>
      </c>
      <c r="F19" s="10" t="s">
        <v>1020</v>
      </c>
      <c r="G19" s="10" t="s">
        <v>1021</v>
      </c>
      <c r="H19" s="9" t="s">
        <v>7</v>
      </c>
      <c r="I19" s="10"/>
      <c r="J19" s="10"/>
      <c r="K19" s="10"/>
      <c r="L19" s="10"/>
    </row>
    <row r="20" customFormat="false" ht="38" hidden="false" customHeight="true" outlineLevel="0" collapsed="false">
      <c r="A20" s="9" t="s">
        <v>55</v>
      </c>
      <c r="B20" s="9" t="s">
        <v>807</v>
      </c>
      <c r="C20" s="10" t="s">
        <v>1025</v>
      </c>
      <c r="D20" s="9" t="s">
        <v>1071</v>
      </c>
      <c r="E20" s="9" t="s">
        <v>1072</v>
      </c>
      <c r="F20" s="10" t="s">
        <v>1026</v>
      </c>
      <c r="G20" s="10" t="s">
        <v>1027</v>
      </c>
      <c r="H20" s="9" t="s">
        <v>7</v>
      </c>
      <c r="I20" s="10"/>
      <c r="J20" s="10"/>
      <c r="K20" s="10"/>
      <c r="L20" s="10"/>
    </row>
    <row r="21" customFormat="false" ht="38" hidden="false" customHeight="true" outlineLevel="0" collapsed="false">
      <c r="A21" s="9" t="s">
        <v>55</v>
      </c>
      <c r="B21" s="9" t="s">
        <v>815</v>
      </c>
      <c r="C21" s="10" t="s">
        <v>1031</v>
      </c>
      <c r="D21" s="9" t="s">
        <v>1073</v>
      </c>
      <c r="E21" s="9" t="s">
        <v>1074</v>
      </c>
      <c r="F21" s="10" t="s">
        <v>1032</v>
      </c>
      <c r="G21" s="10" t="s">
        <v>1033</v>
      </c>
      <c r="H21" s="9" t="s">
        <v>7</v>
      </c>
      <c r="I21" s="10"/>
      <c r="J21" s="10"/>
      <c r="K21" s="10"/>
      <c r="L21" s="10"/>
    </row>
    <row r="22" customFormat="false" ht="38" hidden="false" customHeight="true" outlineLevel="0" collapsed="false">
      <c r="A22" s="9" t="s">
        <v>55</v>
      </c>
      <c r="B22" s="9" t="s">
        <v>877</v>
      </c>
      <c r="C22" s="10" t="s">
        <v>1036</v>
      </c>
      <c r="D22" s="9" t="s">
        <v>870</v>
      </c>
      <c r="E22" s="9" t="s">
        <v>876</v>
      </c>
      <c r="F22" s="10" t="s">
        <v>1037</v>
      </c>
      <c r="G22" s="10" t="s">
        <v>1038</v>
      </c>
      <c r="H22" s="9" t="s">
        <v>7</v>
      </c>
      <c r="I22" s="10"/>
      <c r="J22" s="10"/>
      <c r="K22" s="10"/>
      <c r="L22" s="10"/>
    </row>
    <row r="23" customFormat="false" ht="38" hidden="false" customHeight="true" outlineLevel="0" collapsed="false">
      <c r="A23" s="9" t="s">
        <v>55</v>
      </c>
      <c r="B23" s="9" t="s">
        <v>869</v>
      </c>
      <c r="C23" s="10" t="s">
        <v>1041</v>
      </c>
      <c r="D23" s="9" t="s">
        <v>1075</v>
      </c>
      <c r="E23" s="9" t="s">
        <v>1076</v>
      </c>
      <c r="F23" s="10" t="s">
        <v>1042</v>
      </c>
      <c r="G23" s="10" t="s">
        <v>1043</v>
      </c>
      <c r="H23" s="9" t="s">
        <v>7</v>
      </c>
      <c r="I23" s="10"/>
      <c r="J23" s="10"/>
      <c r="K23" s="10"/>
      <c r="L23" s="10"/>
    </row>
    <row r="24" customFormat="false" ht="38" hidden="false" customHeight="true" outlineLevel="0" collapsed="false">
      <c r="A24" s="9" t="s">
        <v>55</v>
      </c>
      <c r="B24" s="9" t="s">
        <v>1077</v>
      </c>
      <c r="C24" s="10" t="s">
        <v>1046</v>
      </c>
      <c r="D24" s="9" t="s">
        <v>885</v>
      </c>
      <c r="E24" s="9" t="s">
        <v>889</v>
      </c>
      <c r="F24" s="10" t="s">
        <v>1047</v>
      </c>
      <c r="G24" s="10" t="s">
        <v>1048</v>
      </c>
      <c r="H24" s="9" t="s">
        <v>7</v>
      </c>
      <c r="I24" s="10"/>
      <c r="J24" s="10"/>
      <c r="K24" s="10"/>
      <c r="L24" s="10"/>
    </row>
    <row r="25" customFormat="false" ht="38" hidden="false" customHeight="true" outlineLevel="0" collapsed="false">
      <c r="A25" s="9" t="s">
        <v>55</v>
      </c>
      <c r="B25" s="9" t="s">
        <v>1078</v>
      </c>
      <c r="C25" s="10" t="s">
        <v>1050</v>
      </c>
      <c r="D25" s="9" t="s">
        <v>1079</v>
      </c>
      <c r="E25" s="9" t="s">
        <v>1080</v>
      </c>
      <c r="F25" s="10" t="s">
        <v>1053</v>
      </c>
      <c r="G25" s="10" t="s">
        <v>1054</v>
      </c>
      <c r="H25" s="9" t="s">
        <v>7</v>
      </c>
      <c r="I25" s="10"/>
      <c r="J25" s="10"/>
      <c r="K25" s="10"/>
      <c r="L25" s="10"/>
    </row>
    <row r="26" customFormat="false" ht="38" hidden="false" customHeight="true" outlineLevel="0" collapsed="false">
      <c r="A26" s="9" t="s">
        <v>57</v>
      </c>
      <c r="B26" s="9" t="s">
        <v>1081</v>
      </c>
      <c r="C26" s="10" t="s">
        <v>1019</v>
      </c>
      <c r="D26" s="9" t="s">
        <v>891</v>
      </c>
      <c r="E26" s="10"/>
      <c r="F26" s="10" t="s">
        <v>1082</v>
      </c>
      <c r="G26" s="10" t="s">
        <v>1021</v>
      </c>
      <c r="H26" s="9" t="s">
        <v>7</v>
      </c>
      <c r="I26" s="10"/>
      <c r="J26" s="10"/>
      <c r="K26" s="10"/>
      <c r="L26" s="10"/>
    </row>
    <row r="27" customFormat="false" ht="38" hidden="false" customHeight="true" outlineLevel="0" collapsed="false">
      <c r="A27" s="9" t="s">
        <v>57</v>
      </c>
      <c r="B27" s="9" t="s">
        <v>1083</v>
      </c>
      <c r="C27" s="10" t="s">
        <v>1025</v>
      </c>
      <c r="D27" s="9" t="s">
        <v>891</v>
      </c>
      <c r="E27" s="10"/>
      <c r="F27" s="10" t="s">
        <v>1084</v>
      </c>
      <c r="G27" s="10" t="s">
        <v>1027</v>
      </c>
      <c r="H27" s="9" t="s">
        <v>7</v>
      </c>
      <c r="I27" s="10"/>
      <c r="J27" s="10"/>
      <c r="K27" s="10"/>
      <c r="L27" s="10"/>
    </row>
    <row r="28" customFormat="false" ht="38" hidden="false" customHeight="true" outlineLevel="0" collapsed="false">
      <c r="A28" s="9" t="s">
        <v>57</v>
      </c>
      <c r="B28" s="9" t="s">
        <v>909</v>
      </c>
      <c r="C28" s="10" t="s">
        <v>1031</v>
      </c>
      <c r="D28" s="9" t="s">
        <v>1085</v>
      </c>
      <c r="E28" s="10"/>
      <c r="F28" s="10" t="s">
        <v>1086</v>
      </c>
      <c r="G28" s="10" t="s">
        <v>1033</v>
      </c>
      <c r="H28" s="9" t="s">
        <v>7</v>
      </c>
      <c r="I28" s="10"/>
      <c r="J28" s="10"/>
      <c r="K28" s="10"/>
      <c r="L28" s="10"/>
    </row>
    <row r="29" customFormat="false" ht="38" hidden="false" customHeight="true" outlineLevel="0" collapsed="false">
      <c r="A29" s="9" t="s">
        <v>57</v>
      </c>
      <c r="B29" s="9" t="s">
        <v>1087</v>
      </c>
      <c r="C29" s="10" t="s">
        <v>1036</v>
      </c>
      <c r="D29" s="9" t="s">
        <v>915</v>
      </c>
      <c r="E29" s="10"/>
      <c r="F29" s="10" t="s">
        <v>1088</v>
      </c>
      <c r="G29" s="10" t="s">
        <v>1038</v>
      </c>
      <c r="H29" s="9" t="s">
        <v>7</v>
      </c>
      <c r="I29" s="10"/>
      <c r="J29" s="10"/>
      <c r="K29" s="10"/>
      <c r="L29" s="10"/>
    </row>
    <row r="30" customFormat="false" ht="38" hidden="false" customHeight="true" outlineLevel="0" collapsed="false">
      <c r="A30" s="9" t="s">
        <v>57</v>
      </c>
      <c r="B30" s="9" t="s">
        <v>1089</v>
      </c>
      <c r="C30" s="10" t="s">
        <v>1041</v>
      </c>
      <c r="D30" s="9" t="s">
        <v>915</v>
      </c>
      <c r="E30" s="10"/>
      <c r="F30" s="10" t="s">
        <v>1090</v>
      </c>
      <c r="G30" s="10" t="s">
        <v>1043</v>
      </c>
      <c r="H30" s="9" t="s">
        <v>7</v>
      </c>
      <c r="I30" s="10"/>
      <c r="J30" s="10"/>
      <c r="K30" s="10"/>
      <c r="L30" s="10"/>
    </row>
    <row r="31" customFormat="false" ht="38" hidden="false" customHeight="true" outlineLevel="0" collapsed="false">
      <c r="A31" s="9" t="s">
        <v>57</v>
      </c>
      <c r="B31" s="9" t="s">
        <v>1091</v>
      </c>
      <c r="C31" s="10" t="s">
        <v>1046</v>
      </c>
      <c r="D31" s="9" t="s">
        <v>915</v>
      </c>
      <c r="E31" s="10"/>
      <c r="F31" s="10" t="s">
        <v>1092</v>
      </c>
      <c r="G31" s="10" t="s">
        <v>1048</v>
      </c>
      <c r="H31" s="9" t="s">
        <v>7</v>
      </c>
      <c r="I31" s="10"/>
      <c r="J31" s="10"/>
      <c r="K31" s="10"/>
      <c r="L31" s="10"/>
    </row>
    <row r="32" customFormat="false" ht="38" hidden="false" customHeight="true" outlineLevel="0" collapsed="false">
      <c r="A32" s="9" t="s">
        <v>57</v>
      </c>
      <c r="B32" s="9" t="s">
        <v>1093</v>
      </c>
      <c r="C32" s="10" t="s">
        <v>1050</v>
      </c>
      <c r="D32" s="9" t="s">
        <v>915</v>
      </c>
      <c r="E32" s="10"/>
      <c r="F32" s="10" t="s">
        <v>1094</v>
      </c>
      <c r="G32" s="10" t="s">
        <v>1054</v>
      </c>
      <c r="H32" s="9" t="s">
        <v>7</v>
      </c>
      <c r="I32" s="10"/>
      <c r="J32" s="10"/>
      <c r="K32" s="10"/>
      <c r="L32" s="10"/>
    </row>
    <row r="33" customFormat="false" ht="38" hidden="false" customHeight="true" outlineLevel="0" collapsed="false">
      <c r="A33" s="9" t="s">
        <v>58</v>
      </c>
      <c r="B33" s="9" t="s">
        <v>1095</v>
      </c>
      <c r="C33" s="10" t="s">
        <v>1019</v>
      </c>
      <c r="D33" s="9" t="s">
        <v>922</v>
      </c>
      <c r="E33" s="10"/>
      <c r="F33" s="10" t="s">
        <v>1082</v>
      </c>
      <c r="G33" s="10" t="s">
        <v>1021</v>
      </c>
      <c r="H33" s="9" t="s">
        <v>7</v>
      </c>
      <c r="I33" s="10"/>
      <c r="J33" s="10"/>
      <c r="K33" s="10"/>
      <c r="L33" s="10"/>
    </row>
    <row r="34" customFormat="false" ht="38" hidden="false" customHeight="true" outlineLevel="0" collapsed="false">
      <c r="A34" s="9" t="s">
        <v>58</v>
      </c>
      <c r="B34" s="9" t="s">
        <v>1096</v>
      </c>
      <c r="C34" s="10" t="s">
        <v>1025</v>
      </c>
      <c r="D34" s="9" t="s">
        <v>922</v>
      </c>
      <c r="E34" s="10"/>
      <c r="F34" s="10" t="s">
        <v>1084</v>
      </c>
      <c r="G34" s="10" t="s">
        <v>1027</v>
      </c>
      <c r="H34" s="9" t="s">
        <v>7</v>
      </c>
      <c r="I34" s="10"/>
      <c r="J34" s="10"/>
      <c r="K34" s="10"/>
      <c r="L34" s="10"/>
    </row>
    <row r="35" customFormat="false" ht="38" hidden="false" customHeight="true" outlineLevel="0" collapsed="false">
      <c r="A35" s="9" t="s">
        <v>58</v>
      </c>
      <c r="B35" s="9" t="s">
        <v>932</v>
      </c>
      <c r="C35" s="10" t="s">
        <v>1031</v>
      </c>
      <c r="D35" s="9" t="s">
        <v>1097</v>
      </c>
      <c r="E35" s="10"/>
      <c r="F35" s="10" t="s">
        <v>1086</v>
      </c>
      <c r="G35" s="10" t="s">
        <v>1033</v>
      </c>
      <c r="H35" s="9" t="s">
        <v>7</v>
      </c>
      <c r="I35" s="10"/>
      <c r="J35" s="10"/>
      <c r="K35" s="10"/>
      <c r="L35" s="10"/>
    </row>
    <row r="36" customFormat="false" ht="38" hidden="false" customHeight="true" outlineLevel="0" collapsed="false">
      <c r="A36" s="9" t="s">
        <v>58</v>
      </c>
      <c r="B36" s="9" t="s">
        <v>1098</v>
      </c>
      <c r="C36" s="10" t="s">
        <v>1036</v>
      </c>
      <c r="D36" s="9" t="s">
        <v>936</v>
      </c>
      <c r="E36" s="10"/>
      <c r="F36" s="10" t="s">
        <v>1088</v>
      </c>
      <c r="G36" s="10" t="s">
        <v>1038</v>
      </c>
      <c r="H36" s="9" t="s">
        <v>7</v>
      </c>
      <c r="I36" s="10"/>
      <c r="J36" s="10"/>
      <c r="K36" s="10"/>
      <c r="L36" s="10"/>
    </row>
    <row r="37" customFormat="false" ht="38" hidden="false" customHeight="true" outlineLevel="0" collapsed="false">
      <c r="A37" s="9" t="s">
        <v>58</v>
      </c>
      <c r="B37" s="9" t="s">
        <v>1099</v>
      </c>
      <c r="C37" s="10" t="s">
        <v>1041</v>
      </c>
      <c r="D37" s="9" t="s">
        <v>936</v>
      </c>
      <c r="E37" s="10"/>
      <c r="F37" s="10" t="s">
        <v>1090</v>
      </c>
      <c r="G37" s="10" t="s">
        <v>1043</v>
      </c>
      <c r="H37" s="9" t="s">
        <v>7</v>
      </c>
      <c r="I37" s="10"/>
      <c r="J37" s="10"/>
      <c r="K37" s="10"/>
      <c r="L37" s="10"/>
    </row>
    <row r="38" customFormat="false" ht="38" hidden="false" customHeight="true" outlineLevel="0" collapsed="false">
      <c r="A38" s="9" t="s">
        <v>58</v>
      </c>
      <c r="B38" s="9" t="s">
        <v>1100</v>
      </c>
      <c r="C38" s="10" t="s">
        <v>1046</v>
      </c>
      <c r="D38" s="9" t="s">
        <v>936</v>
      </c>
      <c r="E38" s="10"/>
      <c r="F38" s="10" t="s">
        <v>1092</v>
      </c>
      <c r="G38" s="10" t="s">
        <v>1048</v>
      </c>
      <c r="H38" s="9" t="s">
        <v>7</v>
      </c>
      <c r="I38" s="10"/>
      <c r="J38" s="10"/>
      <c r="K38" s="10"/>
      <c r="L38" s="10"/>
    </row>
    <row r="39" customFormat="false" ht="38" hidden="false" customHeight="true" outlineLevel="0" collapsed="false">
      <c r="A39" s="9" t="s">
        <v>58</v>
      </c>
      <c r="B39" s="9" t="s">
        <v>1101</v>
      </c>
      <c r="C39" s="10" t="s">
        <v>1050</v>
      </c>
      <c r="D39" s="9" t="s">
        <v>936</v>
      </c>
      <c r="E39" s="10"/>
      <c r="F39" s="10" t="s">
        <v>1094</v>
      </c>
      <c r="G39" s="10" t="s">
        <v>1054</v>
      </c>
      <c r="H39" s="9" t="s">
        <v>7</v>
      </c>
      <c r="I39" s="10"/>
      <c r="J39" s="10"/>
      <c r="K39" s="10"/>
      <c r="L39" s="10"/>
    </row>
    <row r="40" customFormat="false" ht="38" hidden="false" customHeight="true" outlineLevel="0" collapsed="false">
      <c r="A40" s="9" t="s">
        <v>59</v>
      </c>
      <c r="B40" s="9" t="s">
        <v>1102</v>
      </c>
      <c r="C40" s="10" t="s">
        <v>1019</v>
      </c>
      <c r="D40" s="9" t="s">
        <v>940</v>
      </c>
      <c r="E40" s="10"/>
      <c r="F40" s="10" t="s">
        <v>1082</v>
      </c>
      <c r="G40" s="10" t="s">
        <v>1021</v>
      </c>
      <c r="H40" s="9" t="s">
        <v>7</v>
      </c>
      <c r="I40" s="10"/>
      <c r="J40" s="10"/>
      <c r="K40" s="10"/>
      <c r="L40" s="10"/>
    </row>
    <row r="41" customFormat="false" ht="38" hidden="false" customHeight="true" outlineLevel="0" collapsed="false">
      <c r="A41" s="9" t="s">
        <v>59</v>
      </c>
      <c r="B41" s="9" t="s">
        <v>1103</v>
      </c>
      <c r="C41" s="10" t="s">
        <v>1025</v>
      </c>
      <c r="D41" s="9" t="s">
        <v>940</v>
      </c>
      <c r="E41" s="10"/>
      <c r="F41" s="10" t="s">
        <v>1084</v>
      </c>
      <c r="G41" s="10" t="s">
        <v>1027</v>
      </c>
      <c r="H41" s="9" t="s">
        <v>7</v>
      </c>
      <c r="I41" s="10"/>
      <c r="J41" s="10"/>
      <c r="K41" s="10"/>
      <c r="L41" s="10"/>
    </row>
    <row r="42" customFormat="false" ht="38" hidden="false" customHeight="true" outlineLevel="0" collapsed="false">
      <c r="A42" s="9" t="s">
        <v>59</v>
      </c>
      <c r="B42" s="9" t="s">
        <v>949</v>
      </c>
      <c r="C42" s="10" t="s">
        <v>1031</v>
      </c>
      <c r="D42" s="9" t="s">
        <v>1104</v>
      </c>
      <c r="E42" s="10"/>
      <c r="F42" s="10" t="s">
        <v>1086</v>
      </c>
      <c r="G42" s="10" t="s">
        <v>1033</v>
      </c>
      <c r="H42" s="9" t="s">
        <v>7</v>
      </c>
      <c r="I42" s="10"/>
      <c r="J42" s="10"/>
      <c r="K42" s="10"/>
      <c r="L42" s="10"/>
    </row>
    <row r="43" customFormat="false" ht="38" hidden="false" customHeight="true" outlineLevel="0" collapsed="false">
      <c r="A43" s="9" t="s">
        <v>59</v>
      </c>
      <c r="B43" s="9" t="s">
        <v>1105</v>
      </c>
      <c r="C43" s="10" t="s">
        <v>1036</v>
      </c>
      <c r="D43" s="9" t="s">
        <v>953</v>
      </c>
      <c r="E43" s="10"/>
      <c r="F43" s="10" t="s">
        <v>1088</v>
      </c>
      <c r="G43" s="10" t="s">
        <v>1038</v>
      </c>
      <c r="H43" s="9" t="s">
        <v>7</v>
      </c>
      <c r="I43" s="10"/>
      <c r="J43" s="10"/>
      <c r="K43" s="10"/>
      <c r="L43" s="10"/>
    </row>
    <row r="44" customFormat="false" ht="38" hidden="false" customHeight="true" outlineLevel="0" collapsed="false">
      <c r="A44" s="9" t="s">
        <v>59</v>
      </c>
      <c r="B44" s="9" t="s">
        <v>1106</v>
      </c>
      <c r="C44" s="10" t="s">
        <v>1041</v>
      </c>
      <c r="D44" s="9" t="s">
        <v>953</v>
      </c>
      <c r="E44" s="10"/>
      <c r="F44" s="10" t="s">
        <v>1090</v>
      </c>
      <c r="G44" s="10" t="s">
        <v>1043</v>
      </c>
      <c r="H44" s="9" t="s">
        <v>7</v>
      </c>
      <c r="I44" s="10"/>
      <c r="J44" s="10"/>
      <c r="K44" s="10"/>
      <c r="L44" s="10"/>
    </row>
    <row r="45" customFormat="false" ht="38" hidden="false" customHeight="true" outlineLevel="0" collapsed="false">
      <c r="A45" s="9" t="s">
        <v>59</v>
      </c>
      <c r="B45" s="9" t="s">
        <v>1107</v>
      </c>
      <c r="C45" s="10" t="s">
        <v>1046</v>
      </c>
      <c r="D45" s="9" t="s">
        <v>953</v>
      </c>
      <c r="E45" s="10"/>
      <c r="F45" s="10" t="s">
        <v>1092</v>
      </c>
      <c r="G45" s="10" t="s">
        <v>1048</v>
      </c>
      <c r="H45" s="9" t="s">
        <v>7</v>
      </c>
      <c r="I45" s="10"/>
      <c r="J45" s="10"/>
      <c r="K45" s="10"/>
      <c r="L45" s="10"/>
    </row>
    <row r="46" customFormat="false" ht="38" hidden="false" customHeight="true" outlineLevel="0" collapsed="false">
      <c r="A46" s="9" t="s">
        <v>59</v>
      </c>
      <c r="B46" s="9" t="s">
        <v>1108</v>
      </c>
      <c r="C46" s="10" t="s">
        <v>1050</v>
      </c>
      <c r="D46" s="9" t="s">
        <v>953</v>
      </c>
      <c r="E46" s="10"/>
      <c r="F46" s="10" t="s">
        <v>1094</v>
      </c>
      <c r="G46" s="10" t="s">
        <v>1054</v>
      </c>
      <c r="H46" s="9" t="s">
        <v>7</v>
      </c>
      <c r="I46" s="10"/>
      <c r="J46" s="10"/>
      <c r="K46" s="10"/>
      <c r="L46" s="10"/>
    </row>
    <row r="47" customFormat="false" ht="38" hidden="false" customHeight="true" outlineLevel="0" collapsed="false">
      <c r="A47" s="9" t="s">
        <v>60</v>
      </c>
      <c r="B47" s="9" t="s">
        <v>1109</v>
      </c>
      <c r="C47" s="10" t="s">
        <v>1019</v>
      </c>
      <c r="D47" s="9" t="s">
        <v>957</v>
      </c>
      <c r="E47" s="10"/>
      <c r="F47" s="10" t="s">
        <v>1082</v>
      </c>
      <c r="G47" s="10" t="s">
        <v>1021</v>
      </c>
      <c r="H47" s="9" t="s">
        <v>7</v>
      </c>
      <c r="I47" s="10"/>
      <c r="J47" s="10"/>
      <c r="K47" s="10"/>
      <c r="L47" s="10"/>
    </row>
    <row r="48" customFormat="false" ht="38" hidden="false" customHeight="true" outlineLevel="0" collapsed="false">
      <c r="A48" s="9" t="s">
        <v>60</v>
      </c>
      <c r="B48" s="9" t="s">
        <v>1110</v>
      </c>
      <c r="C48" s="10" t="s">
        <v>1025</v>
      </c>
      <c r="D48" s="9" t="s">
        <v>957</v>
      </c>
      <c r="E48" s="10"/>
      <c r="F48" s="10" t="s">
        <v>1084</v>
      </c>
      <c r="G48" s="10" t="s">
        <v>1027</v>
      </c>
      <c r="H48" s="9" t="s">
        <v>7</v>
      </c>
      <c r="I48" s="10"/>
      <c r="J48" s="10"/>
      <c r="K48" s="10"/>
      <c r="L48" s="10"/>
    </row>
    <row r="49" customFormat="false" ht="38" hidden="false" customHeight="true" outlineLevel="0" collapsed="false">
      <c r="A49" s="9" t="s">
        <v>60</v>
      </c>
      <c r="B49" s="9" t="s">
        <v>966</v>
      </c>
      <c r="C49" s="10" t="s">
        <v>1031</v>
      </c>
      <c r="D49" s="9" t="s">
        <v>1111</v>
      </c>
      <c r="E49" s="10"/>
      <c r="F49" s="10" t="s">
        <v>1086</v>
      </c>
      <c r="G49" s="10" t="s">
        <v>1033</v>
      </c>
      <c r="H49" s="9" t="s">
        <v>7</v>
      </c>
      <c r="I49" s="10"/>
      <c r="J49" s="10"/>
      <c r="K49" s="10"/>
      <c r="L49" s="10"/>
    </row>
    <row r="50" customFormat="false" ht="38" hidden="false" customHeight="true" outlineLevel="0" collapsed="false">
      <c r="A50" s="9" t="s">
        <v>60</v>
      </c>
      <c r="B50" s="9" t="s">
        <v>1112</v>
      </c>
      <c r="C50" s="10" t="s">
        <v>1036</v>
      </c>
      <c r="D50" s="9" t="s">
        <v>970</v>
      </c>
      <c r="E50" s="10"/>
      <c r="F50" s="10" t="s">
        <v>1088</v>
      </c>
      <c r="G50" s="10" t="s">
        <v>1038</v>
      </c>
      <c r="H50" s="9" t="s">
        <v>7</v>
      </c>
      <c r="I50" s="10"/>
      <c r="J50" s="10"/>
      <c r="K50" s="10"/>
      <c r="L50" s="10"/>
    </row>
    <row r="51" customFormat="false" ht="38" hidden="false" customHeight="true" outlineLevel="0" collapsed="false">
      <c r="A51" s="9" t="s">
        <v>60</v>
      </c>
      <c r="B51" s="9" t="s">
        <v>1113</v>
      </c>
      <c r="C51" s="10" t="s">
        <v>1041</v>
      </c>
      <c r="D51" s="9" t="s">
        <v>970</v>
      </c>
      <c r="E51" s="10"/>
      <c r="F51" s="10" t="s">
        <v>1090</v>
      </c>
      <c r="G51" s="10" t="s">
        <v>1043</v>
      </c>
      <c r="H51" s="9" t="s">
        <v>7</v>
      </c>
      <c r="I51" s="10"/>
      <c r="J51" s="10"/>
      <c r="K51" s="10"/>
      <c r="L51" s="10"/>
    </row>
    <row r="52" customFormat="false" ht="38" hidden="false" customHeight="true" outlineLevel="0" collapsed="false">
      <c r="A52" s="9" t="s">
        <v>60</v>
      </c>
      <c r="B52" s="9" t="s">
        <v>1114</v>
      </c>
      <c r="C52" s="10" t="s">
        <v>1046</v>
      </c>
      <c r="D52" s="9" t="s">
        <v>970</v>
      </c>
      <c r="E52" s="10"/>
      <c r="F52" s="10" t="s">
        <v>1092</v>
      </c>
      <c r="G52" s="10" t="s">
        <v>1048</v>
      </c>
      <c r="H52" s="9" t="s">
        <v>7</v>
      </c>
      <c r="I52" s="10"/>
      <c r="J52" s="10"/>
      <c r="K52" s="10"/>
      <c r="L52" s="10"/>
    </row>
    <row r="53" customFormat="false" ht="38" hidden="false" customHeight="true" outlineLevel="0" collapsed="false">
      <c r="A53" s="9" t="s">
        <v>60</v>
      </c>
      <c r="B53" s="9" t="s">
        <v>1115</v>
      </c>
      <c r="C53" s="10" t="s">
        <v>1050</v>
      </c>
      <c r="D53" s="9" t="s">
        <v>970</v>
      </c>
      <c r="E53" s="10"/>
      <c r="F53" s="10" t="s">
        <v>1094</v>
      </c>
      <c r="G53" s="10" t="s">
        <v>1054</v>
      </c>
      <c r="H53" s="9" t="s">
        <v>7</v>
      </c>
      <c r="I53" s="10"/>
      <c r="J53" s="10"/>
      <c r="K53" s="10"/>
      <c r="L53" s="10"/>
    </row>
    <row r="54" customFormat="false" ht="38" hidden="false" customHeight="true" outlineLevel="0" collapsed="false">
      <c r="A54" s="9" t="s">
        <v>61</v>
      </c>
      <c r="B54" s="9" t="s">
        <v>1116</v>
      </c>
      <c r="C54" s="10" t="s">
        <v>1019</v>
      </c>
      <c r="D54" s="9" t="s">
        <v>974</v>
      </c>
      <c r="E54" s="10"/>
      <c r="F54" s="10" t="s">
        <v>1082</v>
      </c>
      <c r="G54" s="10" t="s">
        <v>1021</v>
      </c>
      <c r="H54" s="9" t="s">
        <v>7</v>
      </c>
      <c r="I54" s="10"/>
      <c r="J54" s="10"/>
      <c r="K54" s="10"/>
      <c r="L54" s="10"/>
    </row>
    <row r="55" customFormat="false" ht="38" hidden="false" customHeight="true" outlineLevel="0" collapsed="false">
      <c r="A55" s="9" t="s">
        <v>61</v>
      </c>
      <c r="B55" s="9" t="s">
        <v>1117</v>
      </c>
      <c r="C55" s="10" t="s">
        <v>1025</v>
      </c>
      <c r="D55" s="9" t="s">
        <v>974</v>
      </c>
      <c r="E55" s="10"/>
      <c r="F55" s="10" t="s">
        <v>1084</v>
      </c>
      <c r="G55" s="10" t="s">
        <v>1027</v>
      </c>
      <c r="H55" s="9" t="s">
        <v>7</v>
      </c>
      <c r="I55" s="10"/>
      <c r="J55" s="10"/>
      <c r="K55" s="10"/>
      <c r="L55" s="10"/>
    </row>
    <row r="56" customFormat="false" ht="38" hidden="false" customHeight="true" outlineLevel="0" collapsed="false">
      <c r="A56" s="9" t="s">
        <v>61</v>
      </c>
      <c r="B56" s="9" t="s">
        <v>983</v>
      </c>
      <c r="C56" s="10" t="s">
        <v>1031</v>
      </c>
      <c r="D56" s="9" t="s">
        <v>1118</v>
      </c>
      <c r="E56" s="10"/>
      <c r="F56" s="10" t="s">
        <v>1086</v>
      </c>
      <c r="G56" s="10" t="s">
        <v>1033</v>
      </c>
      <c r="H56" s="9" t="s">
        <v>7</v>
      </c>
      <c r="I56" s="10"/>
      <c r="J56" s="10"/>
      <c r="K56" s="10"/>
      <c r="L56" s="10"/>
    </row>
    <row r="57" customFormat="false" ht="38" hidden="false" customHeight="true" outlineLevel="0" collapsed="false">
      <c r="A57" s="9" t="s">
        <v>61</v>
      </c>
      <c r="B57" s="9" t="s">
        <v>1119</v>
      </c>
      <c r="C57" s="10" t="s">
        <v>1036</v>
      </c>
      <c r="D57" s="9" t="s">
        <v>987</v>
      </c>
      <c r="E57" s="10"/>
      <c r="F57" s="10" t="s">
        <v>1088</v>
      </c>
      <c r="G57" s="10" t="s">
        <v>1038</v>
      </c>
      <c r="H57" s="9" t="s">
        <v>7</v>
      </c>
      <c r="I57" s="10"/>
      <c r="J57" s="10"/>
      <c r="K57" s="10"/>
      <c r="L57" s="10"/>
    </row>
    <row r="58" customFormat="false" ht="38" hidden="false" customHeight="true" outlineLevel="0" collapsed="false">
      <c r="A58" s="9" t="s">
        <v>61</v>
      </c>
      <c r="B58" s="9" t="s">
        <v>1120</v>
      </c>
      <c r="C58" s="10" t="s">
        <v>1041</v>
      </c>
      <c r="D58" s="9" t="s">
        <v>987</v>
      </c>
      <c r="E58" s="10"/>
      <c r="F58" s="10" t="s">
        <v>1090</v>
      </c>
      <c r="G58" s="10" t="s">
        <v>1043</v>
      </c>
      <c r="H58" s="9" t="s">
        <v>7</v>
      </c>
      <c r="I58" s="10"/>
      <c r="J58" s="10"/>
      <c r="K58" s="10"/>
      <c r="L58" s="10"/>
    </row>
    <row r="59" customFormat="false" ht="38" hidden="false" customHeight="true" outlineLevel="0" collapsed="false">
      <c r="A59" s="9" t="s">
        <v>61</v>
      </c>
      <c r="B59" s="9" t="s">
        <v>1121</v>
      </c>
      <c r="C59" s="10" t="s">
        <v>1046</v>
      </c>
      <c r="D59" s="9" t="s">
        <v>987</v>
      </c>
      <c r="E59" s="10"/>
      <c r="F59" s="10" t="s">
        <v>1092</v>
      </c>
      <c r="G59" s="10" t="s">
        <v>1048</v>
      </c>
      <c r="H59" s="9" t="s">
        <v>7</v>
      </c>
      <c r="I59" s="10"/>
      <c r="J59" s="10"/>
      <c r="K59" s="10"/>
      <c r="L59" s="10"/>
    </row>
    <row r="60" customFormat="false" ht="38" hidden="false" customHeight="true" outlineLevel="0" collapsed="false">
      <c r="A60" s="9" t="s">
        <v>61</v>
      </c>
      <c r="B60" s="9" t="s">
        <v>1122</v>
      </c>
      <c r="C60" s="10" t="s">
        <v>1050</v>
      </c>
      <c r="D60" s="9" t="s">
        <v>987</v>
      </c>
      <c r="E60" s="10"/>
      <c r="F60" s="10" t="s">
        <v>1094</v>
      </c>
      <c r="G60" s="10" t="s">
        <v>1054</v>
      </c>
      <c r="H60" s="9" t="s">
        <v>7</v>
      </c>
      <c r="I60" s="10"/>
      <c r="J60" s="10"/>
      <c r="K60" s="10"/>
      <c r="L60" s="10"/>
    </row>
    <row r="61" customFormat="false" ht="38" hidden="false" customHeight="true" outlineLevel="0" collapsed="false">
      <c r="A61" s="9" t="s">
        <v>62</v>
      </c>
      <c r="B61" s="9" t="s">
        <v>1123</v>
      </c>
      <c r="C61" s="10" t="s">
        <v>1019</v>
      </c>
      <c r="D61" s="9" t="s">
        <v>991</v>
      </c>
      <c r="E61" s="10"/>
      <c r="F61" s="10" t="s">
        <v>1082</v>
      </c>
      <c r="G61" s="10" t="s">
        <v>1021</v>
      </c>
      <c r="H61" s="9" t="s">
        <v>7</v>
      </c>
      <c r="I61" s="10"/>
      <c r="J61" s="10"/>
      <c r="K61" s="10"/>
      <c r="L61" s="10"/>
    </row>
    <row r="62" customFormat="false" ht="38" hidden="false" customHeight="true" outlineLevel="0" collapsed="false">
      <c r="A62" s="9" t="s">
        <v>62</v>
      </c>
      <c r="B62" s="9" t="s">
        <v>1124</v>
      </c>
      <c r="C62" s="10" t="s">
        <v>1025</v>
      </c>
      <c r="D62" s="9" t="s">
        <v>991</v>
      </c>
      <c r="E62" s="10"/>
      <c r="F62" s="10" t="s">
        <v>1084</v>
      </c>
      <c r="G62" s="10" t="s">
        <v>1027</v>
      </c>
      <c r="H62" s="9" t="s">
        <v>7</v>
      </c>
      <c r="I62" s="10"/>
      <c r="J62" s="10"/>
      <c r="K62" s="10"/>
      <c r="L62" s="10"/>
    </row>
    <row r="63" customFormat="false" ht="38" hidden="false" customHeight="true" outlineLevel="0" collapsed="false">
      <c r="A63" s="9" t="s">
        <v>62</v>
      </c>
      <c r="B63" s="9" t="s">
        <v>1000</v>
      </c>
      <c r="C63" s="10" t="s">
        <v>1031</v>
      </c>
      <c r="D63" s="9" t="s">
        <v>1125</v>
      </c>
      <c r="E63" s="10"/>
      <c r="F63" s="10" t="s">
        <v>1086</v>
      </c>
      <c r="G63" s="10" t="s">
        <v>1033</v>
      </c>
      <c r="H63" s="9" t="s">
        <v>7</v>
      </c>
      <c r="I63" s="10"/>
      <c r="J63" s="10"/>
      <c r="K63" s="10"/>
      <c r="L63" s="10"/>
    </row>
    <row r="64" customFormat="false" ht="38" hidden="false" customHeight="true" outlineLevel="0" collapsed="false">
      <c r="A64" s="9" t="s">
        <v>62</v>
      </c>
      <c r="B64" s="9" t="s">
        <v>1126</v>
      </c>
      <c r="C64" s="10" t="s">
        <v>1036</v>
      </c>
      <c r="D64" s="9" t="s">
        <v>1004</v>
      </c>
      <c r="E64" s="10"/>
      <c r="F64" s="10" t="s">
        <v>1088</v>
      </c>
      <c r="G64" s="10" t="s">
        <v>1038</v>
      </c>
      <c r="H64" s="9" t="s">
        <v>7</v>
      </c>
      <c r="I64" s="10"/>
      <c r="J64" s="10"/>
      <c r="K64" s="10"/>
      <c r="L64" s="10"/>
    </row>
    <row r="65" customFormat="false" ht="38" hidden="false" customHeight="true" outlineLevel="0" collapsed="false">
      <c r="A65" s="9" t="s">
        <v>62</v>
      </c>
      <c r="B65" s="9" t="s">
        <v>1127</v>
      </c>
      <c r="C65" s="10" t="s">
        <v>1041</v>
      </c>
      <c r="D65" s="9" t="s">
        <v>1004</v>
      </c>
      <c r="E65" s="10"/>
      <c r="F65" s="10" t="s">
        <v>1090</v>
      </c>
      <c r="G65" s="10" t="s">
        <v>1043</v>
      </c>
      <c r="H65" s="9" t="s">
        <v>7</v>
      </c>
      <c r="I65" s="10"/>
      <c r="J65" s="10"/>
      <c r="K65" s="10"/>
      <c r="L65" s="10"/>
    </row>
    <row r="66" customFormat="false" ht="38" hidden="false" customHeight="true" outlineLevel="0" collapsed="false">
      <c r="A66" s="9" t="s">
        <v>62</v>
      </c>
      <c r="B66" s="9" t="s">
        <v>1128</v>
      </c>
      <c r="C66" s="10" t="s">
        <v>1046</v>
      </c>
      <c r="D66" s="9" t="s">
        <v>1004</v>
      </c>
      <c r="E66" s="10"/>
      <c r="F66" s="10" t="s">
        <v>1092</v>
      </c>
      <c r="G66" s="10" t="s">
        <v>1048</v>
      </c>
      <c r="H66" s="9" t="s">
        <v>7</v>
      </c>
      <c r="I66" s="10"/>
      <c r="J66" s="10"/>
      <c r="K66" s="10"/>
      <c r="L66" s="10"/>
    </row>
    <row r="67" customFormat="false" ht="38" hidden="false" customHeight="true" outlineLevel="0" collapsed="false">
      <c r="A67" s="9" t="s">
        <v>62</v>
      </c>
      <c r="B67" s="9" t="s">
        <v>1129</v>
      </c>
      <c r="C67" s="10" t="s">
        <v>1050</v>
      </c>
      <c r="D67" s="9" t="s">
        <v>1004</v>
      </c>
      <c r="E67" s="10"/>
      <c r="F67" s="10" t="s">
        <v>1094</v>
      </c>
      <c r="G67" s="10" t="s">
        <v>1054</v>
      </c>
      <c r="H67" s="9" t="s">
        <v>7</v>
      </c>
      <c r="I67" s="10"/>
      <c r="J67" s="10"/>
      <c r="K67" s="10"/>
      <c r="L67" s="10"/>
    </row>
  </sheetData>
  <mergeCells count="2">
    <mergeCell ref="A1:L1"/>
    <mergeCell ref="A2:L2"/>
  </mergeCells>
  <conditionalFormatting sqref="H5:H67">
    <cfRule type="containsText" priority="2" operator="containsText" aboveAverage="0" equalAverage="0" bottom="0" percent="0" rank="0" text="BLOCKED" dxfId="37">
      <formula>NOT(ISERROR(SEARCH("BLOCKED",H5)))</formula>
    </cfRule>
    <cfRule type="containsText" priority="3" operator="containsText" aboveAverage="0" equalAverage="0" bottom="0" percent="0" rank="0" text="REVIEW_FAILED" dxfId="38">
      <formula>NOT(ISERROR(SEARCH("REVIEW_FAILED",H5)))</formula>
    </cfRule>
    <cfRule type="containsText" priority="4" operator="containsText" aboveAverage="0" equalAverage="0" bottom="0" percent="0" rank="0" text="READY" dxfId="39">
      <formula>NOT(ISERROR(SEARCH("READY",H5)))</formula>
    </cfRule>
    <cfRule type="containsText" priority="5" operator="containsText" aboveAverage="0" equalAverage="0" bottom="0" percent="0" rank="0" text="IN_PROGRESS" dxfId="40">
      <formula>NOT(ISERROR(SEARCH("IN_PROGRESS",H5)))</formula>
    </cfRule>
    <cfRule type="containsText" priority="6" operator="containsText" aboveAverage="0" equalAverage="0" bottom="0" percent="0" rank="0" text="IMPLEMENTED_PENDING_REVIEW" dxfId="41">
      <formula>NOT(ISERROR(SEARCH("IMPLEMENTED_PENDING_REVIEW",H5)))</formula>
    </cfRule>
    <cfRule type="containsText" priority="7" operator="containsText" aboveAverage="0" equalAverage="0" bottom="0" percent="0" rank="0" text="VERIFIED" dxfId="42">
      <formula>NOT(ISERROR(SEARCH("VERIFIED",H5)))</formula>
    </cfRule>
    <cfRule type="containsText" priority="8" operator="containsText" aboveAverage="0" equalAverage="0" bottom="0" percent="0" rank="0" text="DEFERRED" dxfId="43">
      <formula>NOT(ISERROR(SEARCH("DEFERRED",H5)))</formula>
    </cfRule>
  </conditionalFormatting>
  <dataValidations count="1">
    <dataValidation allowBlank="false" errorStyle="stop" operator="between" showDropDown="false" showErrorMessage="false" showInputMessage="false" sqref="H5:H67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62.06"/>
    <col collapsed="false" customWidth="true" hidden="false" outlineLevel="0" max="3" min="3" style="0" width="33.42"/>
    <col collapsed="false" customWidth="true" hidden="false" outlineLevel="0" max="4" min="4" style="0" width="11.94"/>
    <col collapsed="false" customWidth="true" hidden="false" outlineLevel="0" max="5" min="5" style="0" width="50.13"/>
    <col collapsed="false" customWidth="true" hidden="false" outlineLevel="0" max="6" min="6" style="0" width="40.58"/>
    <col collapsed="false" customWidth="true" hidden="false" outlineLevel="0" max="7" min="7" style="0" width="23.87"/>
    <col collapsed="false" customWidth="true" hidden="false" outlineLevel="0" max="8" min="8" style="0" width="52.52"/>
    <col collapsed="false" customWidth="true" hidden="false" outlineLevel="0" max="10" min="9" style="0" width="33.42"/>
    <col collapsed="false" customWidth="true" hidden="false" outlineLevel="0" max="11" min="11" style="0" width="35.81"/>
  </cols>
  <sheetData>
    <row r="1" customFormat="false" ht="28" hidden="false" customHeight="true" outlineLevel="0" collapsed="false">
      <c r="A1" s="17" t="s">
        <v>1130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customFormat="false" ht="34" hidden="false" customHeight="true" outlineLevel="0" collapsed="false">
      <c r="A2" s="18" t="s">
        <v>1131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4" customFormat="false" ht="15" hidden="false" customHeight="false" outlineLevel="0" collapsed="false">
      <c r="A4" s="20" t="s">
        <v>1132</v>
      </c>
      <c r="B4" s="14" t="s">
        <v>1133</v>
      </c>
      <c r="C4" s="14" t="s">
        <v>1134</v>
      </c>
      <c r="D4" s="14" t="s">
        <v>323</v>
      </c>
      <c r="E4" s="14" t="s">
        <v>1135</v>
      </c>
      <c r="F4" s="14" t="s">
        <v>1136</v>
      </c>
      <c r="G4" s="14" t="s">
        <v>1137</v>
      </c>
      <c r="H4" s="14" t="s">
        <v>1138</v>
      </c>
      <c r="I4" s="14" t="s">
        <v>1139</v>
      </c>
      <c r="J4" s="14" t="s">
        <v>1140</v>
      </c>
      <c r="K4" s="21" t="s">
        <v>1141</v>
      </c>
    </row>
    <row r="5" customFormat="false" ht="38" hidden="false" customHeight="true" outlineLevel="0" collapsed="false">
      <c r="A5" s="7" t="s">
        <v>1142</v>
      </c>
      <c r="B5" s="7" t="s">
        <v>1143</v>
      </c>
      <c r="C5" s="8" t="s">
        <v>1144</v>
      </c>
      <c r="D5" s="7" t="s">
        <v>356</v>
      </c>
      <c r="E5" s="7" t="s">
        <v>1145</v>
      </c>
      <c r="F5" s="7" t="s">
        <v>1146</v>
      </c>
      <c r="G5" s="7" t="s">
        <v>1147</v>
      </c>
      <c r="H5" s="7" t="s">
        <v>1148</v>
      </c>
      <c r="I5" s="7" t="s">
        <v>1149</v>
      </c>
      <c r="J5" s="7" t="s">
        <v>1150</v>
      </c>
      <c r="K5" s="7" t="s">
        <v>30</v>
      </c>
    </row>
    <row r="6" customFormat="false" ht="38" hidden="false" customHeight="true" outlineLevel="0" collapsed="false">
      <c r="A6" s="9" t="s">
        <v>1151</v>
      </c>
      <c r="B6" s="9" t="s">
        <v>1152</v>
      </c>
      <c r="C6" s="10" t="s">
        <v>1153</v>
      </c>
      <c r="D6" s="9" t="s">
        <v>356</v>
      </c>
      <c r="E6" s="9" t="s">
        <v>1154</v>
      </c>
      <c r="F6" s="9" t="s">
        <v>419</v>
      </c>
      <c r="G6" s="9" t="s">
        <v>1155</v>
      </c>
      <c r="H6" s="9" t="s">
        <v>1156</v>
      </c>
      <c r="I6" s="9" t="s">
        <v>1157</v>
      </c>
      <c r="J6" s="9" t="s">
        <v>1150</v>
      </c>
      <c r="K6" s="9" t="s">
        <v>30</v>
      </c>
    </row>
    <row r="7" customFormat="false" ht="38" hidden="false" customHeight="true" outlineLevel="0" collapsed="false">
      <c r="A7" s="9" t="s">
        <v>1158</v>
      </c>
      <c r="B7" s="10" t="s">
        <v>1159</v>
      </c>
      <c r="C7" s="10" t="s">
        <v>1160</v>
      </c>
      <c r="D7" s="9" t="s">
        <v>356</v>
      </c>
      <c r="E7" s="9" t="s">
        <v>1161</v>
      </c>
      <c r="F7" s="9" t="s">
        <v>1162</v>
      </c>
      <c r="G7" s="9" t="s">
        <v>1163</v>
      </c>
      <c r="H7" s="9" t="s">
        <v>1164</v>
      </c>
      <c r="I7" s="9" t="s">
        <v>1157</v>
      </c>
      <c r="J7" s="10"/>
      <c r="K7" s="9" t="s">
        <v>23</v>
      </c>
    </row>
    <row r="8" customFormat="false" ht="38" hidden="false" customHeight="true" outlineLevel="0" collapsed="false">
      <c r="A8" s="9" t="s">
        <v>1165</v>
      </c>
      <c r="B8" s="10" t="s">
        <v>1166</v>
      </c>
      <c r="C8" s="10" t="s">
        <v>1160</v>
      </c>
      <c r="D8" s="9" t="s">
        <v>356</v>
      </c>
      <c r="E8" s="9" t="s">
        <v>1167</v>
      </c>
      <c r="F8" s="9" t="s">
        <v>484</v>
      </c>
      <c r="G8" s="9" t="s">
        <v>365</v>
      </c>
      <c r="H8" s="9" t="s">
        <v>1168</v>
      </c>
      <c r="I8" s="9" t="s">
        <v>1157</v>
      </c>
      <c r="J8" s="10"/>
      <c r="K8" s="9" t="s">
        <v>23</v>
      </c>
    </row>
    <row r="9" customFormat="false" ht="38" hidden="false" customHeight="true" outlineLevel="0" collapsed="false">
      <c r="A9" s="9" t="s">
        <v>1169</v>
      </c>
      <c r="B9" s="10" t="s">
        <v>1170</v>
      </c>
      <c r="C9" s="9" t="s">
        <v>1171</v>
      </c>
      <c r="D9" s="9" t="s">
        <v>356</v>
      </c>
      <c r="E9" s="9" t="s">
        <v>1172</v>
      </c>
      <c r="F9" s="9" t="s">
        <v>1173</v>
      </c>
      <c r="G9" s="9" t="s">
        <v>1155</v>
      </c>
      <c r="H9" s="9" t="s">
        <v>1174</v>
      </c>
      <c r="I9" s="9" t="s">
        <v>1175</v>
      </c>
      <c r="J9" s="10"/>
      <c r="K9" s="9" t="s">
        <v>16</v>
      </c>
    </row>
    <row r="10" customFormat="false" ht="38" hidden="false" customHeight="true" outlineLevel="0" collapsed="false">
      <c r="A10" s="9" t="s">
        <v>1176</v>
      </c>
      <c r="B10" s="10" t="s">
        <v>1177</v>
      </c>
      <c r="C10" s="9" t="s">
        <v>1178</v>
      </c>
      <c r="D10" s="9" t="s">
        <v>356</v>
      </c>
      <c r="E10" s="9" t="s">
        <v>1179</v>
      </c>
      <c r="F10" s="9" t="s">
        <v>593</v>
      </c>
      <c r="G10" s="9" t="s">
        <v>1180</v>
      </c>
      <c r="H10" s="9" t="s">
        <v>1181</v>
      </c>
      <c r="I10" s="9" t="s">
        <v>1182</v>
      </c>
      <c r="J10" s="10"/>
      <c r="K10" s="9" t="s">
        <v>7</v>
      </c>
    </row>
    <row r="11" customFormat="false" ht="38" hidden="false" customHeight="true" outlineLevel="0" collapsed="false">
      <c r="A11" s="9" t="s">
        <v>1183</v>
      </c>
      <c r="B11" s="10" t="s">
        <v>1184</v>
      </c>
      <c r="C11" s="9" t="s">
        <v>1185</v>
      </c>
      <c r="D11" s="9" t="s">
        <v>356</v>
      </c>
      <c r="E11" s="9" t="s">
        <v>1186</v>
      </c>
      <c r="F11" s="9" t="s">
        <v>593</v>
      </c>
      <c r="G11" s="9" t="s">
        <v>1155</v>
      </c>
      <c r="H11" s="9" t="s">
        <v>1187</v>
      </c>
      <c r="I11" s="9" t="s">
        <v>1182</v>
      </c>
      <c r="J11" s="10"/>
      <c r="K11" s="9" t="s">
        <v>7</v>
      </c>
    </row>
    <row r="12" customFormat="false" ht="38" hidden="false" customHeight="true" outlineLevel="0" collapsed="false">
      <c r="A12" s="9" t="s">
        <v>1188</v>
      </c>
      <c r="B12" s="9" t="s">
        <v>1189</v>
      </c>
      <c r="C12" s="9" t="s">
        <v>1190</v>
      </c>
      <c r="D12" s="9" t="s">
        <v>356</v>
      </c>
      <c r="E12" s="9" t="s">
        <v>1191</v>
      </c>
      <c r="F12" s="9" t="s">
        <v>1192</v>
      </c>
      <c r="G12" s="9" t="s">
        <v>1147</v>
      </c>
      <c r="H12" s="9" t="s">
        <v>1193</v>
      </c>
      <c r="I12" s="9" t="s">
        <v>1182</v>
      </c>
      <c r="J12" s="10"/>
      <c r="K12" s="9" t="s">
        <v>7</v>
      </c>
    </row>
    <row r="13" customFormat="false" ht="38" hidden="false" customHeight="true" outlineLevel="0" collapsed="false">
      <c r="A13" s="9" t="s">
        <v>1194</v>
      </c>
      <c r="B13" s="9" t="s">
        <v>1195</v>
      </c>
      <c r="C13" s="10" t="s">
        <v>1160</v>
      </c>
      <c r="D13" s="9" t="s">
        <v>356</v>
      </c>
      <c r="E13" s="9" t="s">
        <v>1196</v>
      </c>
      <c r="F13" s="9" t="s">
        <v>633</v>
      </c>
      <c r="G13" s="9" t="s">
        <v>1197</v>
      </c>
      <c r="H13" s="9" t="s">
        <v>1198</v>
      </c>
      <c r="I13" s="9" t="s">
        <v>1182</v>
      </c>
      <c r="J13" s="10"/>
      <c r="K13" s="9" t="s">
        <v>7</v>
      </c>
    </row>
    <row r="14" customFormat="false" ht="38" hidden="false" customHeight="true" outlineLevel="0" collapsed="false">
      <c r="A14" s="9" t="s">
        <v>1199</v>
      </c>
      <c r="B14" s="10" t="s">
        <v>1200</v>
      </c>
      <c r="C14" s="10" t="s">
        <v>1160</v>
      </c>
      <c r="D14" s="9" t="s">
        <v>356</v>
      </c>
      <c r="E14" s="9" t="s">
        <v>1201</v>
      </c>
      <c r="F14" s="9" t="s">
        <v>1202</v>
      </c>
      <c r="G14" s="9" t="s">
        <v>1155</v>
      </c>
      <c r="H14" s="9" t="s">
        <v>1203</v>
      </c>
      <c r="I14" s="9" t="s">
        <v>1182</v>
      </c>
      <c r="J14" s="10"/>
      <c r="K14" s="9" t="s">
        <v>7</v>
      </c>
    </row>
    <row r="15" customFormat="false" ht="38" hidden="false" customHeight="true" outlineLevel="0" collapsed="false">
      <c r="A15" s="9" t="s">
        <v>1204</v>
      </c>
      <c r="B15" s="10" t="s">
        <v>1205</v>
      </c>
      <c r="C15" s="10" t="s">
        <v>1206</v>
      </c>
      <c r="D15" s="9" t="s">
        <v>356</v>
      </c>
      <c r="E15" s="9" t="s">
        <v>1207</v>
      </c>
      <c r="F15" s="9" t="s">
        <v>661</v>
      </c>
      <c r="G15" s="9" t="s">
        <v>1197</v>
      </c>
      <c r="H15" s="9" t="s">
        <v>1208</v>
      </c>
      <c r="I15" s="9" t="s">
        <v>1182</v>
      </c>
      <c r="J15" s="10"/>
      <c r="K15" s="9" t="s">
        <v>7</v>
      </c>
    </row>
    <row r="16" customFormat="false" ht="38" hidden="false" customHeight="true" outlineLevel="0" collapsed="false">
      <c r="A16" s="9" t="s">
        <v>1209</v>
      </c>
      <c r="B16" s="10" t="s">
        <v>1210</v>
      </c>
      <c r="C16" s="10" t="s">
        <v>1160</v>
      </c>
      <c r="D16" s="9" t="s">
        <v>356</v>
      </c>
      <c r="E16" s="9" t="s">
        <v>1211</v>
      </c>
      <c r="F16" s="9" t="s">
        <v>704</v>
      </c>
      <c r="G16" s="9" t="s">
        <v>1163</v>
      </c>
      <c r="H16" s="9" t="s">
        <v>1212</v>
      </c>
      <c r="I16" s="9" t="s">
        <v>1182</v>
      </c>
      <c r="J16" s="10"/>
      <c r="K16" s="9" t="s">
        <v>7</v>
      </c>
    </row>
    <row r="17" customFormat="false" ht="38" hidden="false" customHeight="true" outlineLevel="0" collapsed="false">
      <c r="A17" s="9" t="s">
        <v>1213</v>
      </c>
      <c r="B17" s="10" t="s">
        <v>1214</v>
      </c>
      <c r="C17" s="9" t="s">
        <v>1171</v>
      </c>
      <c r="D17" s="9" t="s">
        <v>356</v>
      </c>
      <c r="E17" s="9" t="s">
        <v>1215</v>
      </c>
      <c r="F17" s="9" t="s">
        <v>1216</v>
      </c>
      <c r="G17" s="9" t="s">
        <v>1147</v>
      </c>
      <c r="H17" s="9" t="s">
        <v>1217</v>
      </c>
      <c r="I17" s="9" t="s">
        <v>1182</v>
      </c>
      <c r="J17" s="10"/>
      <c r="K17" s="9" t="s">
        <v>7</v>
      </c>
    </row>
    <row r="18" customFormat="false" ht="38" hidden="false" customHeight="true" outlineLevel="0" collapsed="false">
      <c r="A18" s="9" t="s">
        <v>1218</v>
      </c>
      <c r="B18" s="10" t="s">
        <v>1219</v>
      </c>
      <c r="C18" s="10" t="s">
        <v>1220</v>
      </c>
      <c r="D18" s="9" t="s">
        <v>356</v>
      </c>
      <c r="E18" s="9" t="s">
        <v>1221</v>
      </c>
      <c r="F18" s="9" t="s">
        <v>704</v>
      </c>
      <c r="G18" s="9" t="s">
        <v>1155</v>
      </c>
      <c r="H18" s="9" t="s">
        <v>1222</v>
      </c>
      <c r="I18" s="9" t="s">
        <v>1182</v>
      </c>
      <c r="J18" s="10"/>
      <c r="K18" s="9" t="s">
        <v>7</v>
      </c>
    </row>
    <row r="19" customFormat="false" ht="38" hidden="false" customHeight="true" outlineLevel="0" collapsed="false">
      <c r="A19" s="9" t="s">
        <v>1223</v>
      </c>
      <c r="B19" s="10" t="s">
        <v>1224</v>
      </c>
      <c r="C19" s="10" t="s">
        <v>1225</v>
      </c>
      <c r="D19" s="9" t="s">
        <v>497</v>
      </c>
      <c r="E19" s="9" t="s">
        <v>1226</v>
      </c>
      <c r="F19" s="9" t="s">
        <v>761</v>
      </c>
      <c r="G19" s="9" t="s">
        <v>1227</v>
      </c>
      <c r="H19" s="9" t="s">
        <v>1228</v>
      </c>
      <c r="I19" s="9" t="s">
        <v>1182</v>
      </c>
      <c r="J19" s="10"/>
      <c r="K19" s="9" t="s">
        <v>7</v>
      </c>
    </row>
    <row r="20" customFormat="false" ht="38" hidden="false" customHeight="true" outlineLevel="0" collapsed="false">
      <c r="A20" s="9" t="s">
        <v>1229</v>
      </c>
      <c r="B20" s="9" t="s">
        <v>1230</v>
      </c>
      <c r="C20" s="10" t="s">
        <v>1231</v>
      </c>
      <c r="D20" s="9" t="s">
        <v>356</v>
      </c>
      <c r="E20" s="9" t="s">
        <v>1068</v>
      </c>
      <c r="F20" s="9" t="s">
        <v>1232</v>
      </c>
      <c r="G20" s="9" t="s">
        <v>365</v>
      </c>
      <c r="H20" s="9" t="s">
        <v>1233</v>
      </c>
      <c r="I20" s="9" t="s">
        <v>1182</v>
      </c>
      <c r="J20" s="10"/>
      <c r="K20" s="9" t="s">
        <v>7</v>
      </c>
    </row>
    <row r="21" customFormat="false" ht="38" hidden="false" customHeight="true" outlineLevel="0" collapsed="false">
      <c r="A21" s="9" t="s">
        <v>1234</v>
      </c>
      <c r="B21" s="10" t="s">
        <v>1235</v>
      </c>
      <c r="C21" s="9" t="s">
        <v>1236</v>
      </c>
      <c r="D21" s="9" t="s">
        <v>356</v>
      </c>
      <c r="E21" s="9" t="s">
        <v>1237</v>
      </c>
      <c r="F21" s="9" t="s">
        <v>876</v>
      </c>
      <c r="G21" s="9" t="s">
        <v>1197</v>
      </c>
      <c r="H21" s="9" t="s">
        <v>1238</v>
      </c>
      <c r="I21" s="9" t="s">
        <v>1182</v>
      </c>
      <c r="J21" s="10"/>
      <c r="K21" s="9" t="s">
        <v>7</v>
      </c>
    </row>
    <row r="22" customFormat="false" ht="38" hidden="false" customHeight="true" outlineLevel="0" collapsed="false">
      <c r="A22" s="9" t="s">
        <v>1239</v>
      </c>
      <c r="B22" s="10" t="s">
        <v>1240</v>
      </c>
      <c r="C22" s="9" t="s">
        <v>1236</v>
      </c>
      <c r="D22" s="9" t="s">
        <v>356</v>
      </c>
      <c r="E22" s="9" t="s">
        <v>1241</v>
      </c>
      <c r="F22" s="9" t="s">
        <v>876</v>
      </c>
      <c r="G22" s="9" t="s">
        <v>1197</v>
      </c>
      <c r="H22" s="9" t="s">
        <v>1242</v>
      </c>
      <c r="I22" s="9" t="s">
        <v>1182</v>
      </c>
      <c r="J22" s="10"/>
      <c r="K22" s="9" t="s">
        <v>7</v>
      </c>
    </row>
    <row r="23" customFormat="false" ht="38" hidden="false" customHeight="true" outlineLevel="0" collapsed="false">
      <c r="A23" s="9" t="s">
        <v>1243</v>
      </c>
      <c r="B23" s="10" t="s">
        <v>1244</v>
      </c>
      <c r="C23" s="9" t="s">
        <v>1236</v>
      </c>
      <c r="D23" s="9" t="s">
        <v>356</v>
      </c>
      <c r="E23" s="9" t="s">
        <v>1245</v>
      </c>
      <c r="F23" s="9" t="s">
        <v>1246</v>
      </c>
      <c r="G23" s="9" t="s">
        <v>1147</v>
      </c>
      <c r="H23" s="9" t="s">
        <v>1247</v>
      </c>
      <c r="I23" s="9" t="s">
        <v>1182</v>
      </c>
      <c r="J23" s="10"/>
      <c r="K23" s="9" t="s">
        <v>7</v>
      </c>
    </row>
    <row r="24" customFormat="false" ht="38" hidden="false" customHeight="true" outlineLevel="0" collapsed="false">
      <c r="A24" s="9" t="s">
        <v>1248</v>
      </c>
      <c r="B24" s="10" t="s">
        <v>1249</v>
      </c>
      <c r="C24" s="10" t="s">
        <v>1250</v>
      </c>
      <c r="D24" s="9" t="s">
        <v>356</v>
      </c>
      <c r="E24" s="9" t="s">
        <v>1251</v>
      </c>
      <c r="F24" s="9" t="s">
        <v>876</v>
      </c>
      <c r="G24" s="9" t="s">
        <v>365</v>
      </c>
      <c r="H24" s="9" t="s">
        <v>1252</v>
      </c>
      <c r="I24" s="9" t="s">
        <v>1182</v>
      </c>
      <c r="J24" s="10"/>
      <c r="K24" s="9" t="s">
        <v>7</v>
      </c>
    </row>
    <row r="25" customFormat="false" ht="38" hidden="false" customHeight="true" outlineLevel="0" collapsed="false">
      <c r="A25" s="9" t="s">
        <v>1253</v>
      </c>
      <c r="B25" s="10" t="s">
        <v>1254</v>
      </c>
      <c r="C25" s="10" t="s">
        <v>1255</v>
      </c>
      <c r="D25" s="9" t="s">
        <v>356</v>
      </c>
      <c r="E25" s="9" t="s">
        <v>1256</v>
      </c>
      <c r="F25" s="9" t="s">
        <v>926</v>
      </c>
      <c r="G25" s="9" t="s">
        <v>365</v>
      </c>
      <c r="H25" s="10" t="s">
        <v>1257</v>
      </c>
      <c r="I25" s="9" t="s">
        <v>1182</v>
      </c>
      <c r="J25" s="10"/>
      <c r="K25" s="9" t="s">
        <v>7</v>
      </c>
    </row>
    <row r="26" customFormat="false" ht="38" hidden="false" customHeight="true" outlineLevel="0" collapsed="false">
      <c r="A26" s="9" t="s">
        <v>1258</v>
      </c>
      <c r="B26" s="9" t="s">
        <v>1259</v>
      </c>
      <c r="C26" s="10" t="s">
        <v>1255</v>
      </c>
      <c r="D26" s="9" t="s">
        <v>356</v>
      </c>
      <c r="E26" s="9" t="s">
        <v>1260</v>
      </c>
      <c r="F26" s="9" t="s">
        <v>1232</v>
      </c>
      <c r="G26" s="9" t="s">
        <v>365</v>
      </c>
      <c r="H26" s="9" t="s">
        <v>1261</v>
      </c>
      <c r="I26" s="9" t="s">
        <v>1182</v>
      </c>
      <c r="J26" s="10"/>
      <c r="K26" s="9" t="s">
        <v>7</v>
      </c>
    </row>
    <row r="27" customFormat="false" ht="38" hidden="false" customHeight="true" outlineLevel="0" collapsed="false">
      <c r="A27" s="9" t="s">
        <v>1262</v>
      </c>
      <c r="B27" s="10" t="s">
        <v>1263</v>
      </c>
      <c r="C27" s="10" t="s">
        <v>1264</v>
      </c>
      <c r="D27" s="9" t="s">
        <v>356</v>
      </c>
      <c r="E27" s="9" t="s">
        <v>425</v>
      </c>
      <c r="F27" s="9" t="s">
        <v>1265</v>
      </c>
      <c r="G27" s="9" t="s">
        <v>1155</v>
      </c>
      <c r="H27" s="9" t="s">
        <v>1266</v>
      </c>
      <c r="I27" s="9" t="s">
        <v>1157</v>
      </c>
      <c r="J27" s="9" t="s">
        <v>1267</v>
      </c>
      <c r="K27" s="9" t="s">
        <v>30</v>
      </c>
    </row>
    <row r="28" customFormat="false" ht="38" hidden="false" customHeight="true" outlineLevel="0" collapsed="false">
      <c r="A28" s="9" t="s">
        <v>1268</v>
      </c>
      <c r="B28" s="9" t="s">
        <v>1269</v>
      </c>
      <c r="C28" s="10" t="s">
        <v>1264</v>
      </c>
      <c r="D28" s="9" t="s">
        <v>356</v>
      </c>
      <c r="E28" s="9" t="s">
        <v>425</v>
      </c>
      <c r="F28" s="9" t="s">
        <v>1270</v>
      </c>
      <c r="G28" s="9" t="s">
        <v>1163</v>
      </c>
      <c r="H28" s="9" t="s">
        <v>1271</v>
      </c>
      <c r="I28" s="9" t="s">
        <v>1157</v>
      </c>
      <c r="J28" s="9" t="s">
        <v>1267</v>
      </c>
      <c r="K28" s="9" t="s">
        <v>30</v>
      </c>
    </row>
    <row r="29" customFormat="false" ht="38" hidden="false" customHeight="true" outlineLevel="0" collapsed="false">
      <c r="A29" s="9" t="s">
        <v>1272</v>
      </c>
      <c r="B29" s="10" t="s">
        <v>1273</v>
      </c>
      <c r="C29" s="10" t="s">
        <v>1264</v>
      </c>
      <c r="D29" s="9" t="s">
        <v>497</v>
      </c>
      <c r="E29" s="9" t="s">
        <v>425</v>
      </c>
      <c r="F29" s="9" t="s">
        <v>1274</v>
      </c>
      <c r="G29" s="9" t="s">
        <v>1275</v>
      </c>
      <c r="H29" s="9" t="s">
        <v>1276</v>
      </c>
      <c r="I29" s="9" t="s">
        <v>1157</v>
      </c>
      <c r="J29" s="9" t="s">
        <v>1267</v>
      </c>
      <c r="K29" s="9" t="s">
        <v>30</v>
      </c>
    </row>
  </sheetData>
  <mergeCells count="2">
    <mergeCell ref="A1:K1"/>
    <mergeCell ref="A2:K2"/>
  </mergeCells>
  <conditionalFormatting sqref="K5:K29">
    <cfRule type="containsText" priority="2" operator="containsText" aboveAverage="0" equalAverage="0" bottom="0" percent="0" rank="0" text="BLOCKED" dxfId="44">
      <formula>NOT(ISERROR(SEARCH("BLOCKED",K5)))</formula>
    </cfRule>
    <cfRule type="containsText" priority="3" operator="containsText" aboveAverage="0" equalAverage="0" bottom="0" percent="0" rank="0" text="REVIEW_FAILED" dxfId="45">
      <formula>NOT(ISERROR(SEARCH("REVIEW_FAILED",K5)))</formula>
    </cfRule>
    <cfRule type="containsText" priority="4" operator="containsText" aboveAverage="0" equalAverage="0" bottom="0" percent="0" rank="0" text="READY" dxfId="46">
      <formula>NOT(ISERROR(SEARCH("READY",K5)))</formula>
    </cfRule>
    <cfRule type="containsText" priority="5" operator="containsText" aboveAverage="0" equalAverage="0" bottom="0" percent="0" rank="0" text="IN_PROGRESS" dxfId="47">
      <formula>NOT(ISERROR(SEARCH("IN_PROGRESS",K5)))</formula>
    </cfRule>
    <cfRule type="containsText" priority="6" operator="containsText" aboveAverage="0" equalAverage="0" bottom="0" percent="0" rank="0" text="IMPLEMENTED_PENDING_REVIEW" dxfId="48">
      <formula>NOT(ISERROR(SEARCH("IMPLEMENTED_PENDING_REVIEW",K5)))</formula>
    </cfRule>
    <cfRule type="containsText" priority="7" operator="containsText" aboveAverage="0" equalAverage="0" bottom="0" percent="0" rank="0" text="VERIFIED" dxfId="49">
      <formula>NOT(ISERROR(SEARCH("VERIFIED",K5)))</formula>
    </cfRule>
    <cfRule type="containsText" priority="8" operator="containsText" aboveAverage="0" equalAverage="0" bottom="0" percent="0" rank="0" text="DEFERRED" dxfId="50">
      <formula>NOT(ISERROR(SEARCH("DEFERRED",K5)))</formula>
    </cfRule>
  </conditionalFormatting>
  <dataValidations count="2">
    <dataValidation allowBlank="false" errorStyle="stop" operator="between" showDropDown="false" showErrorMessage="false" showInputMessage="false" sqref="D5:D29" type="list">
      <formula1>"P0,P1,P2,P3"</formula1>
      <formula2>0</formula2>
    </dataValidation>
    <dataValidation allowBlank="false" errorStyle="stop" operator="between" showDropDown="false" showErrorMessage="false" showInputMessage="false" sqref="K5:K29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3.87"/>
    <col collapsed="false" customWidth="true" hidden="false" outlineLevel="0" max="2" min="2" style="0" width="10.74"/>
    <col collapsed="false" customWidth="true" hidden="false" outlineLevel="0" max="3" min="3" style="0" width="31.03"/>
    <col collapsed="false" customWidth="true" hidden="false" outlineLevel="0" max="4" min="4" style="0" width="21.48"/>
    <col collapsed="false" customWidth="true" hidden="false" outlineLevel="0" max="5" min="5" style="0" width="23.87"/>
    <col collapsed="false" customWidth="true" hidden="false" outlineLevel="0" max="6" min="6" style="0" width="42.97"/>
    <col collapsed="false" customWidth="true" hidden="false" outlineLevel="0" max="7" min="7" style="0" width="47.74"/>
    <col collapsed="false" customWidth="true" hidden="false" outlineLevel="0" max="8" min="8" style="0" width="50.13"/>
    <col collapsed="false" customWidth="true" hidden="false" outlineLevel="0" max="9" min="9" style="0" width="57.29"/>
    <col collapsed="false" customWidth="true" hidden="false" outlineLevel="0" max="10" min="10" style="0" width="28.65"/>
    <col collapsed="false" customWidth="true" hidden="false" outlineLevel="0" max="11" min="11" style="0" width="21.48"/>
    <col collapsed="false" customWidth="true" hidden="false" outlineLevel="0" max="12" min="12" style="0" width="40.58"/>
    <col collapsed="false" customWidth="true" hidden="false" outlineLevel="0" max="14" min="13" style="0" width="21.48"/>
    <col collapsed="false" customWidth="true" hidden="false" outlineLevel="0" max="15" min="15" style="0" width="35.81"/>
  </cols>
  <sheetData>
    <row r="1" customFormat="false" ht="28" hidden="false" customHeight="true" outlineLevel="0" collapsed="false">
      <c r="A1" s="17" t="s">
        <v>1277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customFormat="false" ht="34" hidden="false" customHeight="true" outlineLevel="0" collapsed="false">
      <c r="A2" s="18" t="s">
        <v>1278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4" customFormat="false" ht="15" hidden="false" customHeight="false" outlineLevel="0" collapsed="false">
      <c r="A4" s="20" t="s">
        <v>1279</v>
      </c>
      <c r="B4" s="14" t="s">
        <v>302</v>
      </c>
      <c r="C4" s="14" t="s">
        <v>1280</v>
      </c>
      <c r="D4" s="14" t="s">
        <v>1281</v>
      </c>
      <c r="E4" s="14" t="s">
        <v>1282</v>
      </c>
      <c r="F4" s="14" t="s">
        <v>1283</v>
      </c>
      <c r="G4" s="14" t="s">
        <v>1284</v>
      </c>
      <c r="H4" s="14" t="s">
        <v>1285</v>
      </c>
      <c r="I4" s="14" t="s">
        <v>1286</v>
      </c>
      <c r="J4" s="14" t="s">
        <v>1287</v>
      </c>
      <c r="K4" s="14" t="s">
        <v>1288</v>
      </c>
      <c r="L4" s="14" t="s">
        <v>1289</v>
      </c>
      <c r="M4" s="14" t="s">
        <v>1290</v>
      </c>
      <c r="N4" s="14" t="s">
        <v>1291</v>
      </c>
      <c r="O4" s="21" t="s">
        <v>335</v>
      </c>
    </row>
    <row r="5" customFormat="false" ht="38" hidden="false" customHeight="true" outlineLevel="0" collapsed="false">
      <c r="A5" s="7" t="s">
        <v>1265</v>
      </c>
      <c r="B5" s="7" t="s">
        <v>426</v>
      </c>
      <c r="C5" s="7" t="s">
        <v>1262</v>
      </c>
      <c r="D5" s="7" t="s">
        <v>1292</v>
      </c>
      <c r="E5" s="7" t="s">
        <v>1293</v>
      </c>
      <c r="F5" s="8" t="s">
        <v>1294</v>
      </c>
      <c r="G5" s="8" t="s">
        <v>1295</v>
      </c>
      <c r="H5" s="8" t="s">
        <v>1296</v>
      </c>
      <c r="I5" s="7" t="s">
        <v>1297</v>
      </c>
      <c r="J5" s="7" t="s">
        <v>1298</v>
      </c>
      <c r="K5" s="7" t="s">
        <v>1157</v>
      </c>
      <c r="L5" s="7" t="s">
        <v>1299</v>
      </c>
      <c r="M5" s="8" t="s">
        <v>1300</v>
      </c>
      <c r="N5" s="24" t="s">
        <v>380</v>
      </c>
      <c r="O5" s="8"/>
    </row>
    <row r="6" customFormat="false" ht="38" hidden="false" customHeight="true" outlineLevel="0" collapsed="false">
      <c r="A6" s="9" t="s">
        <v>1270</v>
      </c>
      <c r="B6" s="9" t="s">
        <v>426</v>
      </c>
      <c r="C6" s="9" t="s">
        <v>1268</v>
      </c>
      <c r="D6" s="9" t="s">
        <v>1292</v>
      </c>
      <c r="E6" s="9" t="s">
        <v>1301</v>
      </c>
      <c r="F6" s="10" t="s">
        <v>1302</v>
      </c>
      <c r="G6" s="10" t="s">
        <v>1303</v>
      </c>
      <c r="H6" s="10" t="s">
        <v>1304</v>
      </c>
      <c r="I6" s="9" t="s">
        <v>1305</v>
      </c>
      <c r="J6" s="9" t="s">
        <v>1306</v>
      </c>
      <c r="K6" s="9" t="s">
        <v>1157</v>
      </c>
      <c r="L6" s="9" t="s">
        <v>1307</v>
      </c>
      <c r="M6" s="10" t="s">
        <v>1308</v>
      </c>
      <c r="N6" s="25" t="s">
        <v>380</v>
      </c>
      <c r="O6" s="10"/>
    </row>
    <row r="7" customFormat="false" ht="38" hidden="false" customHeight="true" outlineLevel="0" collapsed="false">
      <c r="A7" s="9" t="s">
        <v>1274</v>
      </c>
      <c r="B7" s="9" t="s">
        <v>426</v>
      </c>
      <c r="C7" s="9" t="s">
        <v>1272</v>
      </c>
      <c r="D7" s="9" t="s">
        <v>1292</v>
      </c>
      <c r="E7" s="9" t="s">
        <v>1309</v>
      </c>
      <c r="F7" s="9" t="s">
        <v>1310</v>
      </c>
      <c r="G7" s="10" t="s">
        <v>1311</v>
      </c>
      <c r="H7" s="10" t="s">
        <v>1312</v>
      </c>
      <c r="I7" s="9" t="s">
        <v>1313</v>
      </c>
      <c r="J7" s="9" t="s">
        <v>1314</v>
      </c>
      <c r="K7" s="9" t="s">
        <v>1157</v>
      </c>
      <c r="L7" s="9" t="s">
        <v>1315</v>
      </c>
      <c r="M7" s="10" t="s">
        <v>1316</v>
      </c>
      <c r="N7" s="25" t="s">
        <v>380</v>
      </c>
      <c r="O7" s="10"/>
    </row>
    <row r="8" customFormat="false" ht="38" hidden="false" customHeight="true" outlineLevel="0" collapsed="false">
      <c r="A8" s="9" t="s">
        <v>1317</v>
      </c>
      <c r="B8" s="9" t="s">
        <v>51</v>
      </c>
      <c r="C8" s="9" t="s">
        <v>1142</v>
      </c>
      <c r="D8" s="9" t="s">
        <v>1318</v>
      </c>
      <c r="E8" s="9" t="s">
        <v>1319</v>
      </c>
      <c r="F8" s="10" t="s">
        <v>1320</v>
      </c>
      <c r="G8" s="10" t="s">
        <v>1321</v>
      </c>
      <c r="H8" s="9" t="s">
        <v>1322</v>
      </c>
      <c r="I8" s="9" t="s">
        <v>1323</v>
      </c>
      <c r="J8" s="9" t="s">
        <v>1324</v>
      </c>
      <c r="K8" s="9" t="s">
        <v>1149</v>
      </c>
      <c r="L8" s="9" t="s">
        <v>1325</v>
      </c>
      <c r="M8" s="10" t="s">
        <v>1326</v>
      </c>
      <c r="N8" s="25" t="s">
        <v>11</v>
      </c>
      <c r="O8" s="9" t="s">
        <v>1327</v>
      </c>
    </row>
    <row r="9" customFormat="false" ht="38" hidden="false" customHeight="true" outlineLevel="0" collapsed="false">
      <c r="A9" s="9" t="s">
        <v>1328</v>
      </c>
      <c r="B9" s="9" t="s">
        <v>51</v>
      </c>
      <c r="C9" s="9" t="s">
        <v>1142</v>
      </c>
      <c r="D9" s="9" t="s">
        <v>664</v>
      </c>
      <c r="E9" s="9" t="s">
        <v>1329</v>
      </c>
      <c r="F9" s="10" t="s">
        <v>1330</v>
      </c>
      <c r="G9" s="10" t="s">
        <v>1331</v>
      </c>
      <c r="H9" s="9" t="s">
        <v>1332</v>
      </c>
      <c r="I9" s="9" t="s">
        <v>1333</v>
      </c>
      <c r="J9" s="9" t="s">
        <v>1324</v>
      </c>
      <c r="K9" s="9" t="s">
        <v>1149</v>
      </c>
      <c r="L9" s="9" t="s">
        <v>153</v>
      </c>
      <c r="M9" s="10" t="s">
        <v>1326</v>
      </c>
      <c r="N9" s="25" t="s">
        <v>11</v>
      </c>
      <c r="O9" s="9" t="s">
        <v>1327</v>
      </c>
    </row>
    <row r="10" customFormat="false" ht="38" hidden="false" customHeight="true" outlineLevel="0" collapsed="false">
      <c r="A10" s="9" t="s">
        <v>399</v>
      </c>
      <c r="B10" s="9" t="s">
        <v>51</v>
      </c>
      <c r="C10" s="9" t="s">
        <v>1142</v>
      </c>
      <c r="D10" s="9" t="s">
        <v>1227</v>
      </c>
      <c r="E10" s="9" t="s">
        <v>1334</v>
      </c>
      <c r="F10" s="10" t="s">
        <v>1335</v>
      </c>
      <c r="G10" s="10" t="s">
        <v>1336</v>
      </c>
      <c r="H10" s="10" t="s">
        <v>1337</v>
      </c>
      <c r="I10" s="9" t="s">
        <v>1338</v>
      </c>
      <c r="J10" s="9" t="s">
        <v>1339</v>
      </c>
      <c r="K10" s="9" t="s">
        <v>1340</v>
      </c>
      <c r="L10" s="10" t="s">
        <v>1341</v>
      </c>
      <c r="M10" s="10" t="s">
        <v>1326</v>
      </c>
      <c r="N10" s="25" t="s">
        <v>11</v>
      </c>
      <c r="O10" s="9" t="s">
        <v>1342</v>
      </c>
    </row>
    <row r="11" customFormat="false" ht="38" hidden="false" customHeight="true" outlineLevel="0" collapsed="false">
      <c r="A11" s="9" t="s">
        <v>419</v>
      </c>
      <c r="B11" s="9" t="s">
        <v>51</v>
      </c>
      <c r="C11" s="9" t="s">
        <v>1151</v>
      </c>
      <c r="D11" s="9" t="s">
        <v>1343</v>
      </c>
      <c r="E11" s="9" t="s">
        <v>1344</v>
      </c>
      <c r="F11" s="10" t="s">
        <v>1345</v>
      </c>
      <c r="G11" s="10" t="s">
        <v>1346</v>
      </c>
      <c r="H11" s="9" t="s">
        <v>1347</v>
      </c>
      <c r="I11" s="9" t="s">
        <v>1348</v>
      </c>
      <c r="J11" s="9" t="s">
        <v>1349</v>
      </c>
      <c r="K11" s="9" t="s">
        <v>1157</v>
      </c>
      <c r="L11" s="9" t="s">
        <v>1350</v>
      </c>
      <c r="M11" s="10" t="s">
        <v>1326</v>
      </c>
      <c r="N11" s="25" t="s">
        <v>11</v>
      </c>
      <c r="O11" s="9" t="s">
        <v>404</v>
      </c>
    </row>
    <row r="12" customFormat="false" ht="38" hidden="false" customHeight="true" outlineLevel="0" collapsed="false">
      <c r="A12" s="9" t="s">
        <v>1351</v>
      </c>
      <c r="B12" s="9" t="s">
        <v>1352</v>
      </c>
      <c r="C12" s="9" t="s">
        <v>1142</v>
      </c>
      <c r="D12" s="9" t="s">
        <v>664</v>
      </c>
      <c r="E12" s="9" t="s">
        <v>1353</v>
      </c>
      <c r="F12" s="10" t="s">
        <v>1354</v>
      </c>
      <c r="G12" s="10" t="s">
        <v>1355</v>
      </c>
      <c r="H12" s="9" t="s">
        <v>1356</v>
      </c>
      <c r="I12" s="9" t="s">
        <v>1333</v>
      </c>
      <c r="J12" s="9" t="s">
        <v>1324</v>
      </c>
      <c r="K12" s="9" t="s">
        <v>1149</v>
      </c>
      <c r="L12" s="9" t="s">
        <v>153</v>
      </c>
      <c r="M12" s="10" t="s">
        <v>1326</v>
      </c>
      <c r="N12" s="25" t="s">
        <v>11</v>
      </c>
      <c r="O12" s="9" t="s">
        <v>384</v>
      </c>
    </row>
    <row r="13" customFormat="false" ht="38" hidden="false" customHeight="true" outlineLevel="0" collapsed="false">
      <c r="A13" s="9" t="s">
        <v>1232</v>
      </c>
      <c r="B13" s="9" t="s">
        <v>53</v>
      </c>
      <c r="C13" s="9" t="s">
        <v>1357</v>
      </c>
      <c r="D13" s="9" t="s">
        <v>365</v>
      </c>
      <c r="E13" s="9" t="s">
        <v>1358</v>
      </c>
      <c r="F13" s="10" t="s">
        <v>1359</v>
      </c>
      <c r="G13" s="10" t="s">
        <v>1360</v>
      </c>
      <c r="H13" s="10" t="s">
        <v>1361</v>
      </c>
      <c r="I13" s="9" t="s">
        <v>1362</v>
      </c>
      <c r="J13" s="9" t="s">
        <v>378</v>
      </c>
      <c r="K13" s="9" t="s">
        <v>1182</v>
      </c>
      <c r="L13" s="10"/>
      <c r="M13" s="10" t="s">
        <v>1326</v>
      </c>
      <c r="N13" s="25"/>
      <c r="O13" s="10"/>
    </row>
    <row r="14" customFormat="false" ht="38" hidden="false" customHeight="true" outlineLevel="0" collapsed="false">
      <c r="A14" s="9" t="s">
        <v>926</v>
      </c>
      <c r="B14" s="9" t="s">
        <v>58</v>
      </c>
      <c r="C14" s="9" t="s">
        <v>1253</v>
      </c>
      <c r="D14" s="9" t="s">
        <v>1363</v>
      </c>
      <c r="E14" s="9" t="s">
        <v>1364</v>
      </c>
      <c r="F14" s="9" t="s">
        <v>1365</v>
      </c>
      <c r="G14" s="10" t="s">
        <v>1366</v>
      </c>
      <c r="H14" s="10" t="s">
        <v>1367</v>
      </c>
      <c r="I14" s="9" t="s">
        <v>1368</v>
      </c>
      <c r="J14" s="9" t="s">
        <v>378</v>
      </c>
      <c r="K14" s="9" t="s">
        <v>1182</v>
      </c>
      <c r="L14" s="10"/>
      <c r="M14" s="10" t="s">
        <v>1326</v>
      </c>
      <c r="N14" s="25"/>
      <c r="O14" s="10"/>
    </row>
    <row r="15" customFormat="false" ht="38" hidden="false" customHeight="true" outlineLevel="0" collapsed="false">
      <c r="A15" s="9" t="s">
        <v>460</v>
      </c>
      <c r="B15" s="9" t="s">
        <v>53</v>
      </c>
      <c r="C15" s="10"/>
      <c r="D15" s="9" t="s">
        <v>1369</v>
      </c>
      <c r="E15" s="9" t="s">
        <v>450</v>
      </c>
      <c r="F15" s="9" t="s">
        <v>457</v>
      </c>
      <c r="G15" s="10" t="s">
        <v>459</v>
      </c>
      <c r="H15" s="9" t="s">
        <v>458</v>
      </c>
      <c r="I15" s="19" t="s">
        <v>1370</v>
      </c>
      <c r="J15" s="9" t="s">
        <v>1371</v>
      </c>
      <c r="K15" s="9" t="s">
        <v>1157</v>
      </c>
      <c r="L15" s="19" t="s">
        <v>1372</v>
      </c>
      <c r="M15" s="9" t="s">
        <v>357</v>
      </c>
      <c r="N15" s="25" t="s">
        <v>11</v>
      </c>
      <c r="O15" s="9" t="s">
        <v>466</v>
      </c>
    </row>
    <row r="16" customFormat="false" ht="38" hidden="false" customHeight="true" outlineLevel="0" collapsed="false">
      <c r="A16" s="9" t="s">
        <v>474</v>
      </c>
      <c r="B16" s="9" t="s">
        <v>53</v>
      </c>
      <c r="C16" s="9" t="s">
        <v>1158</v>
      </c>
      <c r="D16" s="9" t="s">
        <v>1369</v>
      </c>
      <c r="E16" s="9" t="s">
        <v>469</v>
      </c>
      <c r="F16" s="9" t="s">
        <v>472</v>
      </c>
      <c r="G16" s="10" t="s">
        <v>459</v>
      </c>
      <c r="H16" s="10" t="s">
        <v>473</v>
      </c>
      <c r="I16" s="19" t="s">
        <v>1370</v>
      </c>
      <c r="J16" s="9" t="s">
        <v>1371</v>
      </c>
      <c r="K16" s="9" t="s">
        <v>1157</v>
      </c>
      <c r="L16" s="19" t="s">
        <v>1372</v>
      </c>
      <c r="M16" s="9" t="s">
        <v>476</v>
      </c>
      <c r="N16" s="25" t="s">
        <v>11</v>
      </c>
      <c r="O16" s="9" t="s">
        <v>478</v>
      </c>
    </row>
    <row r="17" customFormat="false" ht="38" hidden="false" customHeight="true" outlineLevel="0" collapsed="false">
      <c r="A17" s="9" t="s">
        <v>484</v>
      </c>
      <c r="B17" s="9" t="s">
        <v>53</v>
      </c>
      <c r="C17" s="9" t="s">
        <v>1165</v>
      </c>
      <c r="D17" s="9" t="s">
        <v>1369</v>
      </c>
      <c r="E17" s="9" t="s">
        <v>469</v>
      </c>
      <c r="F17" s="9" t="s">
        <v>472</v>
      </c>
      <c r="G17" s="10" t="s">
        <v>459</v>
      </c>
      <c r="H17" s="10" t="s">
        <v>483</v>
      </c>
      <c r="I17" s="19" t="s">
        <v>1370</v>
      </c>
      <c r="J17" s="9" t="s">
        <v>1371</v>
      </c>
      <c r="K17" s="9" t="s">
        <v>1157</v>
      </c>
      <c r="L17" s="19" t="s">
        <v>1372</v>
      </c>
      <c r="M17" s="9" t="s">
        <v>357</v>
      </c>
      <c r="N17" s="25" t="s">
        <v>11</v>
      </c>
      <c r="O17" s="9" t="s">
        <v>478</v>
      </c>
    </row>
    <row r="18" customFormat="false" ht="38" hidden="false" customHeight="true" outlineLevel="0" collapsed="false">
      <c r="A18" s="9" t="s">
        <v>490</v>
      </c>
      <c r="B18" s="9" t="s">
        <v>53</v>
      </c>
      <c r="C18" s="10"/>
      <c r="D18" s="9" t="s">
        <v>1369</v>
      </c>
      <c r="E18" s="9" t="s">
        <v>469</v>
      </c>
      <c r="F18" s="9" t="s">
        <v>472</v>
      </c>
      <c r="G18" s="10" t="s">
        <v>459</v>
      </c>
      <c r="H18" s="10" t="s">
        <v>489</v>
      </c>
      <c r="I18" s="19" t="s">
        <v>1370</v>
      </c>
      <c r="J18" s="9" t="s">
        <v>1371</v>
      </c>
      <c r="K18" s="9" t="s">
        <v>1157</v>
      </c>
      <c r="L18" s="19" t="s">
        <v>1372</v>
      </c>
      <c r="M18" s="9" t="s">
        <v>476</v>
      </c>
      <c r="N18" s="25" t="s">
        <v>11</v>
      </c>
      <c r="O18" s="9" t="s">
        <v>478</v>
      </c>
    </row>
    <row r="19" customFormat="false" ht="38" hidden="false" customHeight="true" outlineLevel="0" collapsed="false">
      <c r="A19" s="9" t="s">
        <v>496</v>
      </c>
      <c r="B19" s="9" t="s">
        <v>53</v>
      </c>
      <c r="C19" s="10"/>
      <c r="D19" s="9" t="s">
        <v>1369</v>
      </c>
      <c r="E19" s="9" t="s">
        <v>429</v>
      </c>
      <c r="F19" s="9" t="s">
        <v>472</v>
      </c>
      <c r="G19" s="10" t="s">
        <v>459</v>
      </c>
      <c r="H19" s="9" t="s">
        <v>495</v>
      </c>
      <c r="I19" s="19" t="s">
        <v>1370</v>
      </c>
      <c r="J19" s="9" t="s">
        <v>1371</v>
      </c>
      <c r="K19" s="9" t="s">
        <v>1157</v>
      </c>
      <c r="L19" s="19" t="s">
        <v>1372</v>
      </c>
      <c r="M19" s="9" t="s">
        <v>423</v>
      </c>
      <c r="N19" s="25" t="s">
        <v>11</v>
      </c>
      <c r="O19" s="9" t="s">
        <v>478</v>
      </c>
    </row>
    <row r="20" customFormat="false" ht="38" hidden="false" customHeight="true" outlineLevel="0" collapsed="false">
      <c r="A20" s="9" t="s">
        <v>506</v>
      </c>
      <c r="B20" s="9" t="s">
        <v>53</v>
      </c>
      <c r="C20" s="10"/>
      <c r="D20" s="9" t="s">
        <v>1369</v>
      </c>
      <c r="E20" s="9" t="s">
        <v>339</v>
      </c>
      <c r="F20" s="9" t="s">
        <v>504</v>
      </c>
      <c r="G20" s="10" t="s">
        <v>459</v>
      </c>
      <c r="H20" s="10" t="s">
        <v>505</v>
      </c>
      <c r="I20" s="19" t="s">
        <v>1373</v>
      </c>
      <c r="J20" s="9" t="s">
        <v>1371</v>
      </c>
      <c r="K20" s="9" t="s">
        <v>1157</v>
      </c>
      <c r="L20" s="19" t="s">
        <v>1374</v>
      </c>
      <c r="M20" s="9" t="s">
        <v>423</v>
      </c>
      <c r="N20" s="25" t="s">
        <v>11</v>
      </c>
      <c r="O20" s="9" t="s">
        <v>509</v>
      </c>
    </row>
    <row r="21" customFormat="false" ht="38" hidden="false" customHeight="true" outlineLevel="0" collapsed="false">
      <c r="A21" s="9" t="s">
        <v>516</v>
      </c>
      <c r="B21" s="9" t="s">
        <v>53</v>
      </c>
      <c r="C21" s="9" t="s">
        <v>1158</v>
      </c>
      <c r="D21" s="9" t="s">
        <v>1369</v>
      </c>
      <c r="E21" s="9" t="s">
        <v>339</v>
      </c>
      <c r="F21" s="9" t="s">
        <v>504</v>
      </c>
      <c r="G21" s="10" t="s">
        <v>459</v>
      </c>
      <c r="H21" s="10" t="s">
        <v>515</v>
      </c>
      <c r="I21" s="19" t="s">
        <v>1373</v>
      </c>
      <c r="J21" s="9" t="s">
        <v>1371</v>
      </c>
      <c r="K21" s="9" t="s">
        <v>1157</v>
      </c>
      <c r="L21" s="19" t="s">
        <v>1374</v>
      </c>
      <c r="M21" s="9" t="s">
        <v>476</v>
      </c>
      <c r="N21" s="25" t="s">
        <v>11</v>
      </c>
      <c r="O21" s="9" t="s">
        <v>509</v>
      </c>
    </row>
    <row r="22" customFormat="false" ht="38" hidden="false" customHeight="true" outlineLevel="0" collapsed="false">
      <c r="A22" s="9" t="s">
        <v>522</v>
      </c>
      <c r="B22" s="9" t="s">
        <v>53</v>
      </c>
      <c r="C22" s="10"/>
      <c r="D22" s="9" t="s">
        <v>1369</v>
      </c>
      <c r="E22" s="9" t="s">
        <v>469</v>
      </c>
      <c r="F22" s="9" t="s">
        <v>472</v>
      </c>
      <c r="G22" s="10" t="s">
        <v>459</v>
      </c>
      <c r="H22" s="10" t="s">
        <v>521</v>
      </c>
      <c r="I22" s="19" t="s">
        <v>1373</v>
      </c>
      <c r="J22" s="9" t="s">
        <v>1371</v>
      </c>
      <c r="K22" s="9" t="s">
        <v>1157</v>
      </c>
      <c r="L22" s="19" t="s">
        <v>1374</v>
      </c>
      <c r="M22" s="9" t="s">
        <v>357</v>
      </c>
      <c r="N22" s="25" t="s">
        <v>11</v>
      </c>
      <c r="O22" s="9" t="s">
        <v>523</v>
      </c>
    </row>
    <row r="23" customFormat="false" ht="38" hidden="false" customHeight="true" outlineLevel="0" collapsed="false">
      <c r="A23" s="9" t="s">
        <v>530</v>
      </c>
      <c r="B23" s="9" t="s">
        <v>53</v>
      </c>
      <c r="C23" s="10"/>
      <c r="D23" s="9" t="s">
        <v>1369</v>
      </c>
      <c r="E23" s="9" t="s">
        <v>339</v>
      </c>
      <c r="F23" s="9" t="s">
        <v>504</v>
      </c>
      <c r="G23" s="10" t="s">
        <v>459</v>
      </c>
      <c r="H23" s="10" t="s">
        <v>529</v>
      </c>
      <c r="I23" s="19" t="s">
        <v>1373</v>
      </c>
      <c r="J23" s="9" t="s">
        <v>1371</v>
      </c>
      <c r="K23" s="9" t="s">
        <v>1157</v>
      </c>
      <c r="L23" s="19" t="s">
        <v>1374</v>
      </c>
      <c r="M23" s="9" t="s">
        <v>357</v>
      </c>
      <c r="N23" s="25" t="s">
        <v>11</v>
      </c>
      <c r="O23" s="9" t="s">
        <v>509</v>
      </c>
    </row>
    <row r="24" customFormat="false" ht="38" hidden="false" customHeight="true" outlineLevel="0" collapsed="false">
      <c r="A24" s="9" t="s">
        <v>538</v>
      </c>
      <c r="B24" s="9" t="s">
        <v>53</v>
      </c>
      <c r="C24" s="9" t="s">
        <v>1169</v>
      </c>
      <c r="D24" s="9" t="s">
        <v>1369</v>
      </c>
      <c r="E24" s="9" t="s">
        <v>533</v>
      </c>
      <c r="F24" s="9" t="s">
        <v>504</v>
      </c>
      <c r="G24" s="10" t="s">
        <v>459</v>
      </c>
      <c r="H24" s="10" t="s">
        <v>537</v>
      </c>
      <c r="I24" s="19" t="s">
        <v>1373</v>
      </c>
      <c r="J24" s="9" t="s">
        <v>1371</v>
      </c>
      <c r="K24" s="9" t="s">
        <v>1157</v>
      </c>
      <c r="L24" s="19" t="s">
        <v>1374</v>
      </c>
      <c r="M24" s="9" t="s">
        <v>357</v>
      </c>
      <c r="N24" s="25" t="s">
        <v>11</v>
      </c>
      <c r="O24" s="9" t="s">
        <v>509</v>
      </c>
    </row>
    <row r="25" customFormat="false" ht="38" hidden="false" customHeight="true" outlineLevel="0" collapsed="false">
      <c r="A25" s="9" t="s">
        <v>545</v>
      </c>
      <c r="B25" s="9" t="s">
        <v>53</v>
      </c>
      <c r="C25" s="10"/>
      <c r="D25" s="9" t="s">
        <v>1369</v>
      </c>
      <c r="E25" s="9" t="s">
        <v>541</v>
      </c>
      <c r="F25" s="9" t="s">
        <v>504</v>
      </c>
      <c r="G25" s="10" t="s">
        <v>459</v>
      </c>
      <c r="H25" s="10" t="s">
        <v>544</v>
      </c>
      <c r="I25" s="19" t="s">
        <v>1373</v>
      </c>
      <c r="J25" s="9" t="s">
        <v>1371</v>
      </c>
      <c r="K25" s="9" t="s">
        <v>1157</v>
      </c>
      <c r="L25" s="19" t="s">
        <v>1374</v>
      </c>
      <c r="M25" s="9" t="s">
        <v>357</v>
      </c>
      <c r="N25" s="25" t="s">
        <v>11</v>
      </c>
      <c r="O25" s="9" t="s">
        <v>509</v>
      </c>
    </row>
    <row r="26" customFormat="false" ht="38" hidden="false" customHeight="true" outlineLevel="0" collapsed="false">
      <c r="A26" s="9" t="s">
        <v>554</v>
      </c>
      <c r="B26" s="9" t="s">
        <v>53</v>
      </c>
      <c r="C26" s="10"/>
      <c r="D26" s="9" t="s">
        <v>1369</v>
      </c>
      <c r="E26" s="9" t="s">
        <v>469</v>
      </c>
      <c r="F26" s="9" t="s">
        <v>472</v>
      </c>
      <c r="G26" s="10" t="s">
        <v>459</v>
      </c>
      <c r="H26" s="9" t="s">
        <v>553</v>
      </c>
      <c r="I26" s="10" t="s">
        <v>1375</v>
      </c>
      <c r="J26" s="9" t="s">
        <v>1371</v>
      </c>
      <c r="K26" s="9" t="s">
        <v>1182</v>
      </c>
      <c r="L26" s="10"/>
      <c r="M26" s="9" t="s">
        <v>357</v>
      </c>
      <c r="N26" s="25"/>
      <c r="O26" s="9" t="s">
        <v>478</v>
      </c>
    </row>
    <row r="27" customFormat="false" ht="38" hidden="false" customHeight="true" outlineLevel="0" collapsed="false">
      <c r="A27" s="9" t="s">
        <v>560</v>
      </c>
      <c r="B27" s="9" t="s">
        <v>53</v>
      </c>
      <c r="C27" s="10"/>
      <c r="D27" s="9" t="s">
        <v>1369</v>
      </c>
      <c r="E27" s="9" t="s">
        <v>339</v>
      </c>
      <c r="F27" s="9" t="s">
        <v>504</v>
      </c>
      <c r="G27" s="10" t="s">
        <v>459</v>
      </c>
      <c r="H27" s="10" t="s">
        <v>559</v>
      </c>
      <c r="I27" s="10" t="s">
        <v>1375</v>
      </c>
      <c r="J27" s="9" t="s">
        <v>1371</v>
      </c>
      <c r="K27" s="9" t="s">
        <v>1182</v>
      </c>
      <c r="L27" s="10"/>
      <c r="M27" s="9" t="s">
        <v>357</v>
      </c>
      <c r="N27" s="25"/>
      <c r="O27" s="9" t="s">
        <v>509</v>
      </c>
    </row>
    <row r="28" customFormat="false" ht="38" hidden="false" customHeight="true" outlineLevel="0" collapsed="false">
      <c r="A28" s="9" t="s">
        <v>566</v>
      </c>
      <c r="B28" s="9" t="s">
        <v>53</v>
      </c>
      <c r="C28" s="10"/>
      <c r="D28" s="9" t="s">
        <v>1369</v>
      </c>
      <c r="E28" s="9" t="s">
        <v>339</v>
      </c>
      <c r="F28" s="9" t="s">
        <v>504</v>
      </c>
      <c r="G28" s="10" t="s">
        <v>459</v>
      </c>
      <c r="H28" s="10" t="s">
        <v>565</v>
      </c>
      <c r="I28" s="10" t="s">
        <v>1375</v>
      </c>
      <c r="J28" s="9" t="s">
        <v>1371</v>
      </c>
      <c r="K28" s="9" t="s">
        <v>1182</v>
      </c>
      <c r="L28" s="10"/>
      <c r="M28" s="9" t="s">
        <v>476</v>
      </c>
      <c r="N28" s="25"/>
      <c r="O28" s="9" t="s">
        <v>509</v>
      </c>
    </row>
    <row r="29" customFormat="false" ht="38" hidden="false" customHeight="true" outlineLevel="0" collapsed="false">
      <c r="A29" s="9" t="s">
        <v>572</v>
      </c>
      <c r="B29" s="9" t="s">
        <v>53</v>
      </c>
      <c r="C29" s="10"/>
      <c r="D29" s="9" t="s">
        <v>1369</v>
      </c>
      <c r="E29" s="9" t="s">
        <v>469</v>
      </c>
      <c r="F29" s="9" t="s">
        <v>472</v>
      </c>
      <c r="G29" s="10" t="s">
        <v>459</v>
      </c>
      <c r="H29" s="10" t="s">
        <v>571</v>
      </c>
      <c r="I29" s="10" t="s">
        <v>1375</v>
      </c>
      <c r="J29" s="9" t="s">
        <v>1371</v>
      </c>
      <c r="K29" s="9" t="s">
        <v>1182</v>
      </c>
      <c r="L29" s="10"/>
      <c r="M29" s="9" t="s">
        <v>357</v>
      </c>
      <c r="N29" s="25"/>
      <c r="O29" s="9" t="s">
        <v>523</v>
      </c>
    </row>
    <row r="30" customFormat="false" ht="38" hidden="false" customHeight="true" outlineLevel="0" collapsed="false">
      <c r="A30" s="9" t="s">
        <v>579</v>
      </c>
      <c r="B30" s="9" t="s">
        <v>53</v>
      </c>
      <c r="C30" s="10"/>
      <c r="D30" s="9" t="s">
        <v>1369</v>
      </c>
      <c r="E30" s="9" t="s">
        <v>339</v>
      </c>
      <c r="F30" s="9" t="s">
        <v>504</v>
      </c>
      <c r="G30" s="10" t="s">
        <v>459</v>
      </c>
      <c r="H30" s="10" t="s">
        <v>578</v>
      </c>
      <c r="I30" s="10" t="s">
        <v>1375</v>
      </c>
      <c r="J30" s="9" t="s">
        <v>1371</v>
      </c>
      <c r="K30" s="9" t="s">
        <v>1182</v>
      </c>
      <c r="L30" s="10"/>
      <c r="M30" s="9" t="s">
        <v>476</v>
      </c>
      <c r="N30" s="25"/>
      <c r="O30" s="9" t="s">
        <v>509</v>
      </c>
    </row>
    <row r="31" customFormat="false" ht="38" hidden="false" customHeight="true" outlineLevel="0" collapsed="false">
      <c r="A31" s="9" t="s">
        <v>586</v>
      </c>
      <c r="B31" s="9" t="s">
        <v>53</v>
      </c>
      <c r="C31" s="10"/>
      <c r="D31" s="9" t="s">
        <v>1369</v>
      </c>
      <c r="E31" s="9" t="s">
        <v>339</v>
      </c>
      <c r="F31" s="9" t="s">
        <v>504</v>
      </c>
      <c r="G31" s="10" t="s">
        <v>459</v>
      </c>
      <c r="H31" s="10" t="s">
        <v>585</v>
      </c>
      <c r="I31" s="10" t="s">
        <v>1375</v>
      </c>
      <c r="J31" s="9" t="s">
        <v>1371</v>
      </c>
      <c r="K31" s="9" t="s">
        <v>1182</v>
      </c>
      <c r="L31" s="10"/>
      <c r="M31" s="9" t="s">
        <v>357</v>
      </c>
      <c r="N31" s="25"/>
      <c r="O31" s="9" t="s">
        <v>509</v>
      </c>
    </row>
    <row r="32" customFormat="false" ht="38" hidden="false" customHeight="true" outlineLevel="0" collapsed="false">
      <c r="A32" s="9" t="s">
        <v>593</v>
      </c>
      <c r="B32" s="9" t="s">
        <v>53</v>
      </c>
      <c r="C32" s="9" t="s">
        <v>1376</v>
      </c>
      <c r="D32" s="9" t="s">
        <v>1369</v>
      </c>
      <c r="E32" s="9" t="s">
        <v>533</v>
      </c>
      <c r="F32" s="9" t="s">
        <v>504</v>
      </c>
      <c r="G32" s="10" t="s">
        <v>459</v>
      </c>
      <c r="H32" s="10" t="s">
        <v>592</v>
      </c>
      <c r="I32" s="10" t="s">
        <v>1375</v>
      </c>
      <c r="J32" s="9" t="s">
        <v>1371</v>
      </c>
      <c r="K32" s="9" t="s">
        <v>1182</v>
      </c>
      <c r="L32" s="10"/>
      <c r="M32" s="9" t="s">
        <v>357</v>
      </c>
      <c r="N32" s="25"/>
      <c r="O32" s="9" t="s">
        <v>509</v>
      </c>
    </row>
    <row r="33" customFormat="false" ht="38" hidden="false" customHeight="true" outlineLevel="0" collapsed="false">
      <c r="A33" s="9" t="s">
        <v>601</v>
      </c>
      <c r="B33" s="9" t="s">
        <v>53</v>
      </c>
      <c r="C33" s="10"/>
      <c r="D33" s="9" t="s">
        <v>1369</v>
      </c>
      <c r="E33" s="9" t="s">
        <v>469</v>
      </c>
      <c r="F33" s="9" t="s">
        <v>472</v>
      </c>
      <c r="G33" s="10" t="s">
        <v>459</v>
      </c>
      <c r="H33" s="10" t="s">
        <v>600</v>
      </c>
      <c r="I33" s="10" t="s">
        <v>1375</v>
      </c>
      <c r="J33" s="9" t="s">
        <v>1371</v>
      </c>
      <c r="K33" s="9" t="s">
        <v>1182</v>
      </c>
      <c r="L33" s="10"/>
      <c r="M33" s="9" t="s">
        <v>476</v>
      </c>
      <c r="N33" s="25"/>
      <c r="O33" s="9" t="s">
        <v>478</v>
      </c>
    </row>
    <row r="34" customFormat="false" ht="38" hidden="false" customHeight="true" outlineLevel="0" collapsed="false">
      <c r="A34" s="9" t="s">
        <v>608</v>
      </c>
      <c r="B34" s="9" t="s">
        <v>53</v>
      </c>
      <c r="C34" s="10"/>
      <c r="D34" s="9" t="s">
        <v>1369</v>
      </c>
      <c r="E34" s="9" t="s">
        <v>541</v>
      </c>
      <c r="F34" s="9" t="s">
        <v>504</v>
      </c>
      <c r="G34" s="10" t="s">
        <v>459</v>
      </c>
      <c r="H34" s="10" t="s">
        <v>607</v>
      </c>
      <c r="I34" s="10" t="s">
        <v>1375</v>
      </c>
      <c r="J34" s="9" t="s">
        <v>1371</v>
      </c>
      <c r="K34" s="9" t="s">
        <v>1182</v>
      </c>
      <c r="L34" s="10"/>
      <c r="M34" s="9" t="s">
        <v>476</v>
      </c>
      <c r="N34" s="25"/>
      <c r="O34" s="9" t="s">
        <v>509</v>
      </c>
    </row>
    <row r="35" customFormat="false" ht="38" hidden="false" customHeight="true" outlineLevel="0" collapsed="false">
      <c r="A35" s="9" t="s">
        <v>614</v>
      </c>
      <c r="B35" s="9" t="s">
        <v>53</v>
      </c>
      <c r="C35" s="10"/>
      <c r="D35" s="9" t="s">
        <v>1369</v>
      </c>
      <c r="E35" s="9" t="s">
        <v>339</v>
      </c>
      <c r="F35" s="9" t="s">
        <v>504</v>
      </c>
      <c r="G35" s="10" t="s">
        <v>459</v>
      </c>
      <c r="H35" s="9" t="s">
        <v>613</v>
      </c>
      <c r="I35" s="10" t="s">
        <v>1375</v>
      </c>
      <c r="J35" s="9" t="s">
        <v>1371</v>
      </c>
      <c r="K35" s="9" t="s">
        <v>1182</v>
      </c>
      <c r="L35" s="10"/>
      <c r="M35" s="9" t="s">
        <v>476</v>
      </c>
      <c r="N35" s="25"/>
      <c r="O35" s="9" t="s">
        <v>509</v>
      </c>
    </row>
    <row r="36" customFormat="false" ht="38" hidden="false" customHeight="true" outlineLevel="0" collapsed="false">
      <c r="A36" s="9" t="s">
        <v>620</v>
      </c>
      <c r="B36" s="9" t="s">
        <v>53</v>
      </c>
      <c r="C36" s="10"/>
      <c r="D36" s="9" t="s">
        <v>1369</v>
      </c>
      <c r="E36" s="9" t="s">
        <v>339</v>
      </c>
      <c r="F36" s="9" t="s">
        <v>504</v>
      </c>
      <c r="G36" s="10" t="s">
        <v>459</v>
      </c>
      <c r="H36" s="9" t="s">
        <v>619</v>
      </c>
      <c r="I36" s="10" t="s">
        <v>1375</v>
      </c>
      <c r="J36" s="9" t="s">
        <v>1371</v>
      </c>
      <c r="K36" s="9" t="s">
        <v>1182</v>
      </c>
      <c r="L36" s="10"/>
      <c r="M36" s="9" t="s">
        <v>357</v>
      </c>
      <c r="N36" s="25"/>
      <c r="O36" s="9" t="s">
        <v>509</v>
      </c>
    </row>
    <row r="37" customFormat="false" ht="38" hidden="false" customHeight="true" outlineLevel="0" collapsed="false">
      <c r="A37" s="9" t="s">
        <v>626</v>
      </c>
      <c r="B37" s="9" t="s">
        <v>53</v>
      </c>
      <c r="C37" s="10"/>
      <c r="D37" s="9" t="s">
        <v>1369</v>
      </c>
      <c r="E37" s="9" t="s">
        <v>339</v>
      </c>
      <c r="F37" s="9" t="s">
        <v>504</v>
      </c>
      <c r="G37" s="10" t="s">
        <v>459</v>
      </c>
      <c r="H37" s="9" t="s">
        <v>625</v>
      </c>
      <c r="I37" s="10" t="s">
        <v>1375</v>
      </c>
      <c r="J37" s="9" t="s">
        <v>1371</v>
      </c>
      <c r="K37" s="9" t="s">
        <v>1182</v>
      </c>
      <c r="L37" s="10"/>
      <c r="M37" s="9" t="s">
        <v>476</v>
      </c>
      <c r="N37" s="25"/>
      <c r="O37" s="9" t="s">
        <v>509</v>
      </c>
    </row>
    <row r="38" customFormat="false" ht="38" hidden="false" customHeight="true" outlineLevel="0" collapsed="false">
      <c r="A38" s="9" t="s">
        <v>633</v>
      </c>
      <c r="B38" s="9" t="s">
        <v>53</v>
      </c>
      <c r="C38" s="9" t="s">
        <v>1377</v>
      </c>
      <c r="D38" s="9" t="s">
        <v>1369</v>
      </c>
      <c r="E38" s="9" t="s">
        <v>533</v>
      </c>
      <c r="F38" s="9" t="s">
        <v>504</v>
      </c>
      <c r="G38" s="10" t="s">
        <v>459</v>
      </c>
      <c r="H38" s="9" t="s">
        <v>632</v>
      </c>
      <c r="I38" s="10" t="s">
        <v>1375</v>
      </c>
      <c r="J38" s="9" t="s">
        <v>1371</v>
      </c>
      <c r="K38" s="9" t="s">
        <v>1182</v>
      </c>
      <c r="L38" s="10"/>
      <c r="M38" s="9" t="s">
        <v>476</v>
      </c>
      <c r="N38" s="25"/>
      <c r="O38" s="9" t="s">
        <v>509</v>
      </c>
    </row>
    <row r="39" customFormat="false" ht="38" hidden="false" customHeight="true" outlineLevel="0" collapsed="false">
      <c r="A39" s="9" t="s">
        <v>641</v>
      </c>
      <c r="B39" s="9" t="s">
        <v>53</v>
      </c>
      <c r="C39" s="10"/>
      <c r="D39" s="9" t="s">
        <v>1369</v>
      </c>
      <c r="E39" s="9" t="s">
        <v>469</v>
      </c>
      <c r="F39" s="9" t="s">
        <v>472</v>
      </c>
      <c r="G39" s="10" t="s">
        <v>459</v>
      </c>
      <c r="H39" s="9" t="s">
        <v>640</v>
      </c>
      <c r="I39" s="10" t="s">
        <v>1375</v>
      </c>
      <c r="J39" s="9" t="s">
        <v>1371</v>
      </c>
      <c r="K39" s="9" t="s">
        <v>1182</v>
      </c>
      <c r="L39" s="10"/>
      <c r="M39" s="9" t="s">
        <v>357</v>
      </c>
      <c r="N39" s="25"/>
      <c r="O39" s="9" t="s">
        <v>478</v>
      </c>
    </row>
    <row r="40" customFormat="false" ht="38" hidden="false" customHeight="true" outlineLevel="0" collapsed="false">
      <c r="A40" s="9" t="s">
        <v>648</v>
      </c>
      <c r="B40" s="9" t="s">
        <v>53</v>
      </c>
      <c r="C40" s="10"/>
      <c r="D40" s="9" t="s">
        <v>1369</v>
      </c>
      <c r="E40" s="9" t="s">
        <v>339</v>
      </c>
      <c r="F40" s="9" t="s">
        <v>504</v>
      </c>
      <c r="G40" s="10" t="s">
        <v>459</v>
      </c>
      <c r="H40" s="10" t="s">
        <v>647</v>
      </c>
      <c r="I40" s="10" t="s">
        <v>1375</v>
      </c>
      <c r="J40" s="9" t="s">
        <v>1371</v>
      </c>
      <c r="K40" s="9" t="s">
        <v>1182</v>
      </c>
      <c r="L40" s="10"/>
      <c r="M40" s="9" t="s">
        <v>476</v>
      </c>
      <c r="N40" s="25"/>
      <c r="O40" s="9" t="s">
        <v>509</v>
      </c>
    </row>
    <row r="41" customFormat="false" ht="38" hidden="false" customHeight="true" outlineLevel="0" collapsed="false">
      <c r="A41" s="9" t="s">
        <v>654</v>
      </c>
      <c r="B41" s="9" t="s">
        <v>53</v>
      </c>
      <c r="C41" s="10"/>
      <c r="D41" s="9" t="s">
        <v>1369</v>
      </c>
      <c r="E41" s="9" t="s">
        <v>339</v>
      </c>
      <c r="F41" s="9" t="s">
        <v>504</v>
      </c>
      <c r="G41" s="10" t="s">
        <v>459</v>
      </c>
      <c r="H41" s="10" t="s">
        <v>653</v>
      </c>
      <c r="I41" s="10" t="s">
        <v>1375</v>
      </c>
      <c r="J41" s="9" t="s">
        <v>1371</v>
      </c>
      <c r="K41" s="9" t="s">
        <v>1182</v>
      </c>
      <c r="L41" s="10"/>
      <c r="M41" s="9" t="s">
        <v>357</v>
      </c>
      <c r="N41" s="25"/>
      <c r="O41" s="9" t="s">
        <v>509</v>
      </c>
    </row>
    <row r="42" customFormat="false" ht="38" hidden="false" customHeight="true" outlineLevel="0" collapsed="false">
      <c r="A42" s="9" t="s">
        <v>661</v>
      </c>
      <c r="B42" s="9" t="s">
        <v>53</v>
      </c>
      <c r="C42" s="9" t="s">
        <v>1378</v>
      </c>
      <c r="D42" s="9" t="s">
        <v>1369</v>
      </c>
      <c r="E42" s="9" t="s">
        <v>533</v>
      </c>
      <c r="F42" s="9" t="s">
        <v>504</v>
      </c>
      <c r="G42" s="10" t="s">
        <v>459</v>
      </c>
      <c r="H42" s="9" t="s">
        <v>660</v>
      </c>
      <c r="I42" s="10" t="s">
        <v>1375</v>
      </c>
      <c r="J42" s="9" t="s">
        <v>1371</v>
      </c>
      <c r="K42" s="9" t="s">
        <v>1182</v>
      </c>
      <c r="L42" s="10"/>
      <c r="M42" s="9" t="s">
        <v>476</v>
      </c>
      <c r="N42" s="25"/>
      <c r="O42" s="9" t="s">
        <v>509</v>
      </c>
    </row>
    <row r="43" customFormat="false" ht="38" hidden="false" customHeight="true" outlineLevel="0" collapsed="false">
      <c r="A43" s="9" t="s">
        <v>669</v>
      </c>
      <c r="B43" s="9" t="s">
        <v>53</v>
      </c>
      <c r="C43" s="10"/>
      <c r="D43" s="9" t="s">
        <v>1369</v>
      </c>
      <c r="E43" s="9" t="s">
        <v>664</v>
      </c>
      <c r="F43" s="9" t="s">
        <v>667</v>
      </c>
      <c r="G43" s="10" t="s">
        <v>459</v>
      </c>
      <c r="H43" s="10" t="s">
        <v>668</v>
      </c>
      <c r="I43" s="10" t="s">
        <v>1375</v>
      </c>
      <c r="J43" s="9" t="s">
        <v>1371</v>
      </c>
      <c r="K43" s="9" t="s">
        <v>1182</v>
      </c>
      <c r="L43" s="10"/>
      <c r="M43" s="9" t="s">
        <v>357</v>
      </c>
      <c r="N43" s="25"/>
      <c r="O43" s="9" t="s">
        <v>670</v>
      </c>
    </row>
    <row r="44" customFormat="false" ht="38" hidden="false" customHeight="true" outlineLevel="0" collapsed="false">
      <c r="A44" s="9" t="s">
        <v>678</v>
      </c>
      <c r="B44" s="9" t="s">
        <v>53</v>
      </c>
      <c r="C44" s="10"/>
      <c r="D44" s="9" t="s">
        <v>1369</v>
      </c>
      <c r="E44" s="9" t="s">
        <v>365</v>
      </c>
      <c r="F44" s="9" t="s">
        <v>472</v>
      </c>
      <c r="G44" s="10" t="s">
        <v>459</v>
      </c>
      <c r="H44" s="9" t="s">
        <v>677</v>
      </c>
      <c r="I44" s="10" t="s">
        <v>1375</v>
      </c>
      <c r="J44" s="9" t="s">
        <v>1371</v>
      </c>
      <c r="K44" s="9" t="s">
        <v>1182</v>
      </c>
      <c r="L44" s="10"/>
      <c r="M44" s="9" t="s">
        <v>476</v>
      </c>
      <c r="N44" s="25"/>
      <c r="O44" s="9" t="s">
        <v>478</v>
      </c>
    </row>
    <row r="45" customFormat="false" ht="38" hidden="false" customHeight="true" outlineLevel="0" collapsed="false">
      <c r="A45" s="9" t="s">
        <v>685</v>
      </c>
      <c r="B45" s="9" t="s">
        <v>53</v>
      </c>
      <c r="C45" s="10"/>
      <c r="D45" s="9" t="s">
        <v>1369</v>
      </c>
      <c r="E45" s="9" t="s">
        <v>469</v>
      </c>
      <c r="F45" s="9" t="s">
        <v>472</v>
      </c>
      <c r="G45" s="10" t="s">
        <v>459</v>
      </c>
      <c r="H45" s="9" t="s">
        <v>684</v>
      </c>
      <c r="I45" s="10" t="s">
        <v>1375</v>
      </c>
      <c r="J45" s="9" t="s">
        <v>1371</v>
      </c>
      <c r="K45" s="9" t="s">
        <v>1182</v>
      </c>
      <c r="L45" s="10"/>
      <c r="M45" s="9" t="s">
        <v>476</v>
      </c>
      <c r="N45" s="25"/>
      <c r="O45" s="9" t="s">
        <v>478</v>
      </c>
    </row>
    <row r="46" customFormat="false" ht="38" hidden="false" customHeight="true" outlineLevel="0" collapsed="false">
      <c r="A46" s="9" t="s">
        <v>691</v>
      </c>
      <c r="B46" s="9" t="s">
        <v>53</v>
      </c>
      <c r="C46" s="10"/>
      <c r="D46" s="9" t="s">
        <v>1369</v>
      </c>
      <c r="E46" s="9" t="s">
        <v>339</v>
      </c>
      <c r="F46" s="9" t="s">
        <v>504</v>
      </c>
      <c r="G46" s="10" t="s">
        <v>459</v>
      </c>
      <c r="H46" s="9" t="s">
        <v>690</v>
      </c>
      <c r="I46" s="10" t="s">
        <v>1375</v>
      </c>
      <c r="J46" s="9" t="s">
        <v>1371</v>
      </c>
      <c r="K46" s="9" t="s">
        <v>1182</v>
      </c>
      <c r="L46" s="10"/>
      <c r="M46" s="9" t="s">
        <v>476</v>
      </c>
      <c r="N46" s="25"/>
      <c r="O46" s="9" t="s">
        <v>509</v>
      </c>
    </row>
    <row r="47" customFormat="false" ht="38" hidden="false" customHeight="true" outlineLevel="0" collapsed="false">
      <c r="A47" s="9" t="s">
        <v>698</v>
      </c>
      <c r="B47" s="9" t="s">
        <v>53</v>
      </c>
      <c r="C47" s="10"/>
      <c r="D47" s="9" t="s">
        <v>1369</v>
      </c>
      <c r="E47" s="9" t="s">
        <v>339</v>
      </c>
      <c r="F47" s="9" t="s">
        <v>504</v>
      </c>
      <c r="G47" s="10" t="s">
        <v>459</v>
      </c>
      <c r="H47" s="9" t="s">
        <v>697</v>
      </c>
      <c r="I47" s="10" t="s">
        <v>1375</v>
      </c>
      <c r="J47" s="9" t="s">
        <v>1371</v>
      </c>
      <c r="K47" s="9" t="s">
        <v>1182</v>
      </c>
      <c r="L47" s="10"/>
      <c r="M47" s="9" t="s">
        <v>476</v>
      </c>
      <c r="N47" s="25"/>
      <c r="O47" s="9" t="s">
        <v>509</v>
      </c>
    </row>
    <row r="48" customFormat="false" ht="38" hidden="false" customHeight="true" outlineLevel="0" collapsed="false">
      <c r="A48" s="9" t="s">
        <v>704</v>
      </c>
      <c r="B48" s="9" t="s">
        <v>53</v>
      </c>
      <c r="C48" s="9" t="s">
        <v>1379</v>
      </c>
      <c r="D48" s="9" t="s">
        <v>1369</v>
      </c>
      <c r="E48" s="9" t="s">
        <v>533</v>
      </c>
      <c r="F48" s="9" t="s">
        <v>504</v>
      </c>
      <c r="G48" s="10" t="s">
        <v>459</v>
      </c>
      <c r="H48" s="9" t="s">
        <v>703</v>
      </c>
      <c r="I48" s="10" t="s">
        <v>1375</v>
      </c>
      <c r="J48" s="9" t="s">
        <v>1371</v>
      </c>
      <c r="K48" s="9" t="s">
        <v>1182</v>
      </c>
      <c r="L48" s="10"/>
      <c r="M48" s="9" t="s">
        <v>476</v>
      </c>
      <c r="N48" s="25"/>
      <c r="O48" s="9" t="s">
        <v>509</v>
      </c>
    </row>
    <row r="49" customFormat="false" ht="38" hidden="false" customHeight="true" outlineLevel="0" collapsed="false">
      <c r="A49" s="9" t="s">
        <v>715</v>
      </c>
      <c r="B49" s="9" t="s">
        <v>53</v>
      </c>
      <c r="C49" s="10"/>
      <c r="D49" s="9" t="s">
        <v>1369</v>
      </c>
      <c r="E49" s="9" t="s">
        <v>709</v>
      </c>
      <c r="F49" s="9" t="s">
        <v>712</v>
      </c>
      <c r="G49" s="10" t="s">
        <v>714</v>
      </c>
      <c r="H49" s="10" t="s">
        <v>713</v>
      </c>
      <c r="I49" s="10" t="s">
        <v>1375</v>
      </c>
      <c r="J49" s="9" t="s">
        <v>1371</v>
      </c>
      <c r="K49" s="9" t="s">
        <v>1182</v>
      </c>
      <c r="L49" s="10"/>
      <c r="M49" s="9" t="s">
        <v>423</v>
      </c>
      <c r="N49" s="25"/>
      <c r="O49" s="9" t="s">
        <v>716</v>
      </c>
    </row>
    <row r="50" customFormat="false" ht="38" hidden="false" customHeight="true" outlineLevel="0" collapsed="false">
      <c r="A50" s="9" t="s">
        <v>723</v>
      </c>
      <c r="B50" s="9" t="s">
        <v>53</v>
      </c>
      <c r="C50" s="10"/>
      <c r="D50" s="9" t="s">
        <v>1369</v>
      </c>
      <c r="E50" s="9" t="s">
        <v>709</v>
      </c>
      <c r="F50" s="9" t="s">
        <v>712</v>
      </c>
      <c r="G50" s="10" t="s">
        <v>714</v>
      </c>
      <c r="H50" s="10" t="s">
        <v>722</v>
      </c>
      <c r="I50" s="10" t="s">
        <v>1375</v>
      </c>
      <c r="J50" s="9" t="s">
        <v>1371</v>
      </c>
      <c r="K50" s="9" t="s">
        <v>1182</v>
      </c>
      <c r="L50" s="10"/>
      <c r="M50" s="9" t="s">
        <v>357</v>
      </c>
      <c r="N50" s="25"/>
      <c r="O50" s="9" t="s">
        <v>716</v>
      </c>
    </row>
    <row r="51" customFormat="false" ht="38" hidden="false" customHeight="true" outlineLevel="0" collapsed="false">
      <c r="A51" s="9" t="s">
        <v>731</v>
      </c>
      <c r="B51" s="9" t="s">
        <v>53</v>
      </c>
      <c r="C51" s="10"/>
      <c r="D51" s="9" t="s">
        <v>1369</v>
      </c>
      <c r="E51" s="9" t="s">
        <v>726</v>
      </c>
      <c r="F51" s="9" t="s">
        <v>712</v>
      </c>
      <c r="G51" s="10" t="s">
        <v>714</v>
      </c>
      <c r="H51" s="10" t="s">
        <v>730</v>
      </c>
      <c r="I51" s="10" t="s">
        <v>1375</v>
      </c>
      <c r="J51" s="9" t="s">
        <v>1371</v>
      </c>
      <c r="K51" s="9" t="s">
        <v>1182</v>
      </c>
      <c r="L51" s="10"/>
      <c r="M51" s="9" t="s">
        <v>357</v>
      </c>
      <c r="N51" s="25"/>
      <c r="O51" s="9" t="s">
        <v>716</v>
      </c>
    </row>
    <row r="52" customFormat="false" ht="38" hidden="false" customHeight="true" outlineLevel="0" collapsed="false">
      <c r="A52" s="9" t="s">
        <v>740</v>
      </c>
      <c r="B52" s="9" t="s">
        <v>53</v>
      </c>
      <c r="C52" s="10"/>
      <c r="D52" s="9" t="s">
        <v>1369</v>
      </c>
      <c r="E52" s="9" t="s">
        <v>736</v>
      </c>
      <c r="F52" s="9" t="s">
        <v>504</v>
      </c>
      <c r="G52" s="10" t="s">
        <v>459</v>
      </c>
      <c r="H52" s="10" t="s">
        <v>739</v>
      </c>
      <c r="I52" s="10" t="s">
        <v>1375</v>
      </c>
      <c r="J52" s="9" t="s">
        <v>1371</v>
      </c>
      <c r="K52" s="9" t="s">
        <v>1182</v>
      </c>
      <c r="L52" s="10"/>
      <c r="M52" s="9" t="s">
        <v>423</v>
      </c>
      <c r="N52" s="25"/>
      <c r="O52" s="9" t="s">
        <v>670</v>
      </c>
    </row>
    <row r="53" customFormat="false" ht="38" hidden="false" customHeight="true" outlineLevel="0" collapsed="false">
      <c r="A53" s="9" t="s">
        <v>747</v>
      </c>
      <c r="B53" s="9" t="s">
        <v>53</v>
      </c>
      <c r="C53" s="10"/>
      <c r="D53" s="9" t="s">
        <v>1369</v>
      </c>
      <c r="E53" s="9" t="s">
        <v>736</v>
      </c>
      <c r="F53" s="9" t="s">
        <v>504</v>
      </c>
      <c r="G53" s="10" t="s">
        <v>459</v>
      </c>
      <c r="H53" s="10" t="s">
        <v>746</v>
      </c>
      <c r="I53" s="10" t="s">
        <v>1375</v>
      </c>
      <c r="J53" s="9" t="s">
        <v>1371</v>
      </c>
      <c r="K53" s="9" t="s">
        <v>1182</v>
      </c>
      <c r="L53" s="10"/>
      <c r="M53" s="9" t="s">
        <v>357</v>
      </c>
      <c r="N53" s="25"/>
      <c r="O53" s="9" t="s">
        <v>670</v>
      </c>
    </row>
    <row r="54" customFormat="false" ht="38" hidden="false" customHeight="true" outlineLevel="0" collapsed="false">
      <c r="A54" s="9" t="s">
        <v>753</v>
      </c>
      <c r="B54" s="9" t="s">
        <v>53</v>
      </c>
      <c r="C54" s="10"/>
      <c r="D54" s="9" t="s">
        <v>1369</v>
      </c>
      <c r="E54" s="9" t="s">
        <v>736</v>
      </c>
      <c r="F54" s="9" t="s">
        <v>667</v>
      </c>
      <c r="G54" s="10" t="s">
        <v>459</v>
      </c>
      <c r="H54" s="9" t="s">
        <v>752</v>
      </c>
      <c r="I54" s="10" t="s">
        <v>1375</v>
      </c>
      <c r="J54" s="9" t="s">
        <v>1371</v>
      </c>
      <c r="K54" s="9" t="s">
        <v>1182</v>
      </c>
      <c r="L54" s="10"/>
      <c r="M54" s="9" t="s">
        <v>357</v>
      </c>
      <c r="N54" s="25"/>
      <c r="O54" s="9" t="s">
        <v>670</v>
      </c>
    </row>
    <row r="55" customFormat="false" ht="38" hidden="false" customHeight="true" outlineLevel="0" collapsed="false">
      <c r="A55" s="9" t="s">
        <v>761</v>
      </c>
      <c r="B55" s="9" t="s">
        <v>53</v>
      </c>
      <c r="C55" s="9" t="s">
        <v>1380</v>
      </c>
      <c r="D55" s="9" t="s">
        <v>1369</v>
      </c>
      <c r="E55" s="9" t="s">
        <v>756</v>
      </c>
      <c r="F55" s="9" t="s">
        <v>712</v>
      </c>
      <c r="G55" s="10" t="s">
        <v>714</v>
      </c>
      <c r="H55" s="10" t="s">
        <v>760</v>
      </c>
      <c r="I55" s="10" t="s">
        <v>1375</v>
      </c>
      <c r="J55" s="9" t="s">
        <v>1371</v>
      </c>
      <c r="K55" s="9" t="s">
        <v>1182</v>
      </c>
      <c r="L55" s="10"/>
      <c r="M55" s="9" t="s">
        <v>357</v>
      </c>
      <c r="N55" s="25"/>
      <c r="O55" s="9" t="s">
        <v>716</v>
      </c>
    </row>
    <row r="56" customFormat="false" ht="38" hidden="false" customHeight="true" outlineLevel="0" collapsed="false">
      <c r="A56" s="9" t="s">
        <v>768</v>
      </c>
      <c r="B56" s="9" t="s">
        <v>53</v>
      </c>
      <c r="C56" s="10"/>
      <c r="D56" s="9" t="s">
        <v>1369</v>
      </c>
      <c r="E56" s="9" t="s">
        <v>365</v>
      </c>
      <c r="F56" s="9" t="s">
        <v>766</v>
      </c>
      <c r="G56" s="10" t="s">
        <v>459</v>
      </c>
      <c r="H56" s="9" t="s">
        <v>767</v>
      </c>
      <c r="I56" s="10" t="s">
        <v>1375</v>
      </c>
      <c r="J56" s="9" t="s">
        <v>1371</v>
      </c>
      <c r="K56" s="9" t="s">
        <v>1182</v>
      </c>
      <c r="L56" s="10"/>
      <c r="M56" s="9" t="s">
        <v>476</v>
      </c>
      <c r="N56" s="25"/>
      <c r="O56" s="9" t="s">
        <v>769</v>
      </c>
    </row>
    <row r="57" customFormat="false" ht="38" hidden="false" customHeight="true" outlineLevel="0" collapsed="false">
      <c r="A57" s="9" t="s">
        <v>776</v>
      </c>
      <c r="B57" s="9" t="s">
        <v>53</v>
      </c>
      <c r="C57" s="10"/>
      <c r="D57" s="9" t="s">
        <v>1369</v>
      </c>
      <c r="E57" s="9" t="s">
        <v>772</v>
      </c>
      <c r="F57" s="9" t="s">
        <v>766</v>
      </c>
      <c r="G57" s="10" t="s">
        <v>459</v>
      </c>
      <c r="H57" s="10" t="s">
        <v>775</v>
      </c>
      <c r="I57" s="10" t="s">
        <v>1375</v>
      </c>
      <c r="J57" s="9" t="s">
        <v>1371</v>
      </c>
      <c r="K57" s="9" t="s">
        <v>1182</v>
      </c>
      <c r="L57" s="10"/>
      <c r="M57" s="9" t="s">
        <v>357</v>
      </c>
      <c r="N57" s="25"/>
      <c r="O57" s="9" t="s">
        <v>769</v>
      </c>
    </row>
    <row r="58" customFormat="false" ht="38" hidden="false" customHeight="true" outlineLevel="0" collapsed="false">
      <c r="A58" s="9" t="s">
        <v>783</v>
      </c>
      <c r="B58" s="9" t="s">
        <v>53</v>
      </c>
      <c r="C58" s="10"/>
      <c r="D58" s="9" t="s">
        <v>1369</v>
      </c>
      <c r="E58" s="9" t="s">
        <v>408</v>
      </c>
      <c r="F58" s="9" t="s">
        <v>781</v>
      </c>
      <c r="G58" s="10" t="s">
        <v>459</v>
      </c>
      <c r="H58" s="9" t="s">
        <v>782</v>
      </c>
      <c r="I58" s="10" t="s">
        <v>1375</v>
      </c>
      <c r="J58" s="9" t="s">
        <v>1371</v>
      </c>
      <c r="K58" s="9" t="s">
        <v>1182</v>
      </c>
      <c r="L58" s="10"/>
      <c r="M58" s="9" t="s">
        <v>357</v>
      </c>
      <c r="N58" s="25"/>
      <c r="O58" s="9" t="s">
        <v>784</v>
      </c>
    </row>
    <row r="59" customFormat="false" ht="38" hidden="false" customHeight="true" outlineLevel="0" collapsed="false">
      <c r="A59" s="9" t="s">
        <v>797</v>
      </c>
      <c r="B59" s="9" t="s">
        <v>55</v>
      </c>
      <c r="C59" s="10"/>
      <c r="D59" s="9" t="s">
        <v>1369</v>
      </c>
      <c r="E59" s="9" t="s">
        <v>469</v>
      </c>
      <c r="F59" s="9" t="s">
        <v>794</v>
      </c>
      <c r="G59" s="10" t="s">
        <v>796</v>
      </c>
      <c r="H59" s="10" t="s">
        <v>795</v>
      </c>
      <c r="I59" s="10" t="s">
        <v>1375</v>
      </c>
      <c r="J59" s="9" t="s">
        <v>1371</v>
      </c>
      <c r="K59" s="9" t="s">
        <v>1182</v>
      </c>
      <c r="L59" s="10"/>
      <c r="M59" s="9" t="s">
        <v>357</v>
      </c>
      <c r="N59" s="25"/>
      <c r="O59" s="9" t="s">
        <v>801</v>
      </c>
    </row>
    <row r="60" customFormat="false" ht="38" hidden="false" customHeight="true" outlineLevel="0" collapsed="false">
      <c r="A60" s="9" t="s">
        <v>806</v>
      </c>
      <c r="B60" s="9" t="s">
        <v>55</v>
      </c>
      <c r="C60" s="10"/>
      <c r="D60" s="9" t="s">
        <v>1369</v>
      </c>
      <c r="E60" s="9" t="s">
        <v>469</v>
      </c>
      <c r="F60" s="9" t="s">
        <v>794</v>
      </c>
      <c r="G60" s="10" t="s">
        <v>796</v>
      </c>
      <c r="H60" s="10" t="s">
        <v>805</v>
      </c>
      <c r="I60" s="10" t="s">
        <v>1375</v>
      </c>
      <c r="J60" s="9" t="s">
        <v>1371</v>
      </c>
      <c r="K60" s="9" t="s">
        <v>1182</v>
      </c>
      <c r="L60" s="10"/>
      <c r="M60" s="9" t="s">
        <v>357</v>
      </c>
      <c r="N60" s="25"/>
      <c r="O60" s="9" t="s">
        <v>807</v>
      </c>
    </row>
    <row r="61" customFormat="false" ht="38" hidden="false" customHeight="true" outlineLevel="0" collapsed="false">
      <c r="A61" s="9" t="s">
        <v>814</v>
      </c>
      <c r="B61" s="9" t="s">
        <v>55</v>
      </c>
      <c r="C61" s="10"/>
      <c r="D61" s="9" t="s">
        <v>1369</v>
      </c>
      <c r="E61" s="9" t="s">
        <v>339</v>
      </c>
      <c r="F61" s="9" t="s">
        <v>794</v>
      </c>
      <c r="G61" s="10" t="s">
        <v>796</v>
      </c>
      <c r="H61" s="10" t="s">
        <v>813</v>
      </c>
      <c r="I61" s="10" t="s">
        <v>1375</v>
      </c>
      <c r="J61" s="9" t="s">
        <v>1371</v>
      </c>
      <c r="K61" s="9" t="s">
        <v>1182</v>
      </c>
      <c r="L61" s="10"/>
      <c r="M61" s="9" t="s">
        <v>423</v>
      </c>
      <c r="N61" s="25"/>
      <c r="O61" s="9" t="s">
        <v>815</v>
      </c>
    </row>
    <row r="62" customFormat="false" ht="38" hidden="false" customHeight="true" outlineLevel="0" collapsed="false">
      <c r="A62" s="9" t="s">
        <v>820</v>
      </c>
      <c r="B62" s="9" t="s">
        <v>55</v>
      </c>
      <c r="C62" s="10"/>
      <c r="D62" s="9" t="s">
        <v>1369</v>
      </c>
      <c r="E62" s="9" t="s">
        <v>339</v>
      </c>
      <c r="F62" s="9" t="s">
        <v>794</v>
      </c>
      <c r="G62" s="10" t="s">
        <v>796</v>
      </c>
      <c r="H62" s="10" t="s">
        <v>819</v>
      </c>
      <c r="I62" s="10" t="s">
        <v>1375</v>
      </c>
      <c r="J62" s="9" t="s">
        <v>1371</v>
      </c>
      <c r="K62" s="9" t="s">
        <v>1182</v>
      </c>
      <c r="L62" s="10"/>
      <c r="M62" s="9" t="s">
        <v>423</v>
      </c>
      <c r="N62" s="25"/>
      <c r="O62" s="9" t="s">
        <v>815</v>
      </c>
    </row>
    <row r="63" customFormat="false" ht="38" hidden="false" customHeight="true" outlineLevel="0" collapsed="false">
      <c r="A63" s="9" t="s">
        <v>825</v>
      </c>
      <c r="B63" s="9" t="s">
        <v>55</v>
      </c>
      <c r="C63" s="10"/>
      <c r="D63" s="9" t="s">
        <v>1369</v>
      </c>
      <c r="E63" s="9" t="s">
        <v>339</v>
      </c>
      <c r="F63" s="9" t="s">
        <v>794</v>
      </c>
      <c r="G63" s="10" t="s">
        <v>796</v>
      </c>
      <c r="H63" s="10" t="s">
        <v>824</v>
      </c>
      <c r="I63" s="10" t="s">
        <v>1375</v>
      </c>
      <c r="J63" s="9" t="s">
        <v>1371</v>
      </c>
      <c r="K63" s="9" t="s">
        <v>1182</v>
      </c>
      <c r="L63" s="10"/>
      <c r="M63" s="9" t="s">
        <v>423</v>
      </c>
      <c r="N63" s="25"/>
      <c r="O63" s="9" t="s">
        <v>815</v>
      </c>
    </row>
    <row r="64" customFormat="false" ht="38" hidden="false" customHeight="true" outlineLevel="0" collapsed="false">
      <c r="A64" s="9" t="s">
        <v>830</v>
      </c>
      <c r="B64" s="9" t="s">
        <v>55</v>
      </c>
      <c r="C64" s="10"/>
      <c r="D64" s="9" t="s">
        <v>1369</v>
      </c>
      <c r="E64" s="9" t="s">
        <v>339</v>
      </c>
      <c r="F64" s="9" t="s">
        <v>794</v>
      </c>
      <c r="G64" s="10" t="s">
        <v>796</v>
      </c>
      <c r="H64" s="10" t="s">
        <v>829</v>
      </c>
      <c r="I64" s="10" t="s">
        <v>1375</v>
      </c>
      <c r="J64" s="9" t="s">
        <v>1371</v>
      </c>
      <c r="K64" s="9" t="s">
        <v>1182</v>
      </c>
      <c r="L64" s="10"/>
      <c r="M64" s="9" t="s">
        <v>423</v>
      </c>
      <c r="N64" s="25"/>
      <c r="O64" s="9" t="s">
        <v>815</v>
      </c>
    </row>
    <row r="65" customFormat="false" ht="38" hidden="false" customHeight="true" outlineLevel="0" collapsed="false">
      <c r="A65" s="9" t="s">
        <v>835</v>
      </c>
      <c r="B65" s="9" t="s">
        <v>55</v>
      </c>
      <c r="C65" s="10"/>
      <c r="D65" s="9" t="s">
        <v>1369</v>
      </c>
      <c r="E65" s="9" t="s">
        <v>339</v>
      </c>
      <c r="F65" s="9" t="s">
        <v>794</v>
      </c>
      <c r="G65" s="10" t="s">
        <v>796</v>
      </c>
      <c r="H65" s="10" t="s">
        <v>834</v>
      </c>
      <c r="I65" s="10" t="s">
        <v>1375</v>
      </c>
      <c r="J65" s="9" t="s">
        <v>1371</v>
      </c>
      <c r="K65" s="9" t="s">
        <v>1182</v>
      </c>
      <c r="L65" s="10"/>
      <c r="M65" s="9" t="s">
        <v>423</v>
      </c>
      <c r="N65" s="25"/>
      <c r="O65" s="9" t="s">
        <v>815</v>
      </c>
    </row>
    <row r="66" customFormat="false" ht="38" hidden="false" customHeight="true" outlineLevel="0" collapsed="false">
      <c r="A66" s="9" t="s">
        <v>843</v>
      </c>
      <c r="B66" s="9" t="s">
        <v>55</v>
      </c>
      <c r="C66" s="10"/>
      <c r="D66" s="9" t="s">
        <v>1369</v>
      </c>
      <c r="E66" s="9" t="s">
        <v>840</v>
      </c>
      <c r="F66" s="9" t="s">
        <v>794</v>
      </c>
      <c r="G66" s="10" t="s">
        <v>796</v>
      </c>
      <c r="H66" s="10" t="s">
        <v>842</v>
      </c>
      <c r="I66" s="10" t="s">
        <v>1375</v>
      </c>
      <c r="J66" s="9" t="s">
        <v>1371</v>
      </c>
      <c r="K66" s="9" t="s">
        <v>1182</v>
      </c>
      <c r="L66" s="10"/>
      <c r="M66" s="9" t="s">
        <v>357</v>
      </c>
      <c r="N66" s="25"/>
      <c r="O66" s="9" t="s">
        <v>815</v>
      </c>
    </row>
    <row r="67" customFormat="false" ht="38" hidden="false" customHeight="true" outlineLevel="0" collapsed="false">
      <c r="A67" s="9" t="s">
        <v>849</v>
      </c>
      <c r="B67" s="9" t="s">
        <v>55</v>
      </c>
      <c r="C67" s="10"/>
      <c r="D67" s="9" t="s">
        <v>1369</v>
      </c>
      <c r="E67" s="9" t="s">
        <v>846</v>
      </c>
      <c r="F67" s="9" t="s">
        <v>794</v>
      </c>
      <c r="G67" s="10" t="s">
        <v>796</v>
      </c>
      <c r="H67" s="10" t="s">
        <v>848</v>
      </c>
      <c r="I67" s="10" t="s">
        <v>1375</v>
      </c>
      <c r="J67" s="9" t="s">
        <v>1371</v>
      </c>
      <c r="K67" s="9" t="s">
        <v>1182</v>
      </c>
      <c r="L67" s="10"/>
      <c r="M67" s="9" t="s">
        <v>423</v>
      </c>
      <c r="N67" s="25"/>
      <c r="O67" s="9" t="s">
        <v>815</v>
      </c>
    </row>
    <row r="68" customFormat="false" ht="38" hidden="false" customHeight="true" outlineLevel="0" collapsed="false">
      <c r="A68" s="9" t="s">
        <v>856</v>
      </c>
      <c r="B68" s="9" t="s">
        <v>55</v>
      </c>
      <c r="C68" s="10"/>
      <c r="D68" s="9" t="s">
        <v>1369</v>
      </c>
      <c r="E68" s="9" t="s">
        <v>469</v>
      </c>
      <c r="F68" s="9" t="s">
        <v>794</v>
      </c>
      <c r="G68" s="10" t="s">
        <v>796</v>
      </c>
      <c r="H68" s="10" t="s">
        <v>855</v>
      </c>
      <c r="I68" s="10" t="s">
        <v>1375</v>
      </c>
      <c r="J68" s="9" t="s">
        <v>1371</v>
      </c>
      <c r="K68" s="9" t="s">
        <v>1182</v>
      </c>
      <c r="L68" s="10"/>
      <c r="M68" s="9" t="s">
        <v>357</v>
      </c>
      <c r="N68" s="25"/>
      <c r="O68" s="9" t="s">
        <v>815</v>
      </c>
    </row>
    <row r="69" customFormat="false" ht="38" hidden="false" customHeight="true" outlineLevel="0" collapsed="false">
      <c r="A69" s="9" t="s">
        <v>861</v>
      </c>
      <c r="B69" s="9" t="s">
        <v>55</v>
      </c>
      <c r="C69" s="10"/>
      <c r="D69" s="9" t="s">
        <v>1369</v>
      </c>
      <c r="E69" s="9" t="s">
        <v>469</v>
      </c>
      <c r="F69" s="9" t="s">
        <v>794</v>
      </c>
      <c r="G69" s="10" t="s">
        <v>796</v>
      </c>
      <c r="H69" s="10" t="s">
        <v>860</v>
      </c>
      <c r="I69" s="10" t="s">
        <v>1375</v>
      </c>
      <c r="J69" s="9" t="s">
        <v>1371</v>
      </c>
      <c r="K69" s="9" t="s">
        <v>1182</v>
      </c>
      <c r="L69" s="10"/>
      <c r="M69" s="9" t="s">
        <v>357</v>
      </c>
      <c r="N69" s="25"/>
      <c r="O69" s="9" t="s">
        <v>815</v>
      </c>
    </row>
    <row r="70" customFormat="false" ht="38" hidden="false" customHeight="true" outlineLevel="0" collapsed="false">
      <c r="A70" s="9" t="s">
        <v>868</v>
      </c>
      <c r="B70" s="9" t="s">
        <v>55</v>
      </c>
      <c r="C70" s="10"/>
      <c r="D70" s="9" t="s">
        <v>1369</v>
      </c>
      <c r="E70" s="9" t="s">
        <v>709</v>
      </c>
      <c r="F70" s="9" t="s">
        <v>794</v>
      </c>
      <c r="G70" s="10" t="s">
        <v>796</v>
      </c>
      <c r="H70" s="10" t="s">
        <v>867</v>
      </c>
      <c r="I70" s="10" t="s">
        <v>1375</v>
      </c>
      <c r="J70" s="9" t="s">
        <v>1371</v>
      </c>
      <c r="K70" s="9" t="s">
        <v>1182</v>
      </c>
      <c r="L70" s="10"/>
      <c r="M70" s="9" t="s">
        <v>423</v>
      </c>
      <c r="N70" s="25"/>
      <c r="O70" s="9" t="s">
        <v>869</v>
      </c>
    </row>
    <row r="71" customFormat="false" ht="38" hidden="false" customHeight="true" outlineLevel="0" collapsed="false">
      <c r="A71" s="9" t="s">
        <v>876</v>
      </c>
      <c r="B71" s="9" t="s">
        <v>55</v>
      </c>
      <c r="C71" s="9" t="s">
        <v>1381</v>
      </c>
      <c r="D71" s="9" t="s">
        <v>1369</v>
      </c>
      <c r="E71" s="9" t="s">
        <v>736</v>
      </c>
      <c r="F71" s="9" t="s">
        <v>794</v>
      </c>
      <c r="G71" s="10" t="s">
        <v>796</v>
      </c>
      <c r="H71" s="10" t="s">
        <v>875</v>
      </c>
      <c r="I71" s="10" t="s">
        <v>1375</v>
      </c>
      <c r="J71" s="9" t="s">
        <v>1371</v>
      </c>
      <c r="K71" s="9" t="s">
        <v>1182</v>
      </c>
      <c r="L71" s="10"/>
      <c r="M71" s="9" t="s">
        <v>423</v>
      </c>
      <c r="N71" s="25"/>
      <c r="O71" s="9" t="s">
        <v>877</v>
      </c>
    </row>
    <row r="72" customFormat="false" ht="38" hidden="false" customHeight="true" outlineLevel="0" collapsed="false">
      <c r="A72" s="9" t="s">
        <v>883</v>
      </c>
      <c r="B72" s="9" t="s">
        <v>55</v>
      </c>
      <c r="C72" s="9" t="s">
        <v>1243</v>
      </c>
      <c r="D72" s="9" t="s">
        <v>1369</v>
      </c>
      <c r="E72" s="9" t="s">
        <v>756</v>
      </c>
      <c r="F72" s="9" t="s">
        <v>794</v>
      </c>
      <c r="G72" s="10" t="s">
        <v>882</v>
      </c>
      <c r="H72" s="10" t="s">
        <v>881</v>
      </c>
      <c r="I72" s="10" t="s">
        <v>1375</v>
      </c>
      <c r="J72" s="9" t="s">
        <v>1371</v>
      </c>
      <c r="K72" s="9" t="s">
        <v>1182</v>
      </c>
      <c r="L72" s="10"/>
      <c r="M72" s="9" t="s">
        <v>423</v>
      </c>
      <c r="N72" s="25"/>
      <c r="O72" s="9" t="s">
        <v>884</v>
      </c>
    </row>
    <row r="73" customFormat="false" ht="38" hidden="false" customHeight="true" outlineLevel="0" collapsed="false">
      <c r="A73" s="9" t="s">
        <v>889</v>
      </c>
      <c r="B73" s="9" t="s">
        <v>55</v>
      </c>
      <c r="C73" s="10"/>
      <c r="D73" s="9" t="s">
        <v>1369</v>
      </c>
      <c r="E73" s="9" t="s">
        <v>365</v>
      </c>
      <c r="F73" s="9" t="s">
        <v>794</v>
      </c>
      <c r="G73" s="10" t="s">
        <v>796</v>
      </c>
      <c r="H73" s="10" t="s">
        <v>888</v>
      </c>
      <c r="I73" s="10" t="s">
        <v>1375</v>
      </c>
      <c r="J73" s="9" t="s">
        <v>1371</v>
      </c>
      <c r="K73" s="9" t="s">
        <v>1182</v>
      </c>
      <c r="L73" s="10"/>
      <c r="M73" s="9" t="s">
        <v>357</v>
      </c>
      <c r="N73" s="25"/>
      <c r="O73" s="9" t="s">
        <v>890</v>
      </c>
    </row>
  </sheetData>
  <mergeCells count="2">
    <mergeCell ref="A1:O1"/>
    <mergeCell ref="A2:O2"/>
  </mergeCells>
  <conditionalFormatting sqref="K5:K73">
    <cfRule type="containsText" priority="2" operator="containsText" aboveAverage="0" equalAverage="0" bottom="0" percent="0" rank="0" text="BLOCKED" dxfId="51">
      <formula>NOT(ISERROR(SEARCH("BLOCKED",K5)))</formula>
    </cfRule>
    <cfRule type="containsText" priority="3" operator="containsText" aboveAverage="0" equalAverage="0" bottom="0" percent="0" rank="0" text="REVIEW_FAILED" dxfId="52">
      <formula>NOT(ISERROR(SEARCH("REVIEW_FAILED",K5)))</formula>
    </cfRule>
    <cfRule type="containsText" priority="4" operator="containsText" aboveAverage="0" equalAverage="0" bottom="0" percent="0" rank="0" text="READY" dxfId="53">
      <formula>NOT(ISERROR(SEARCH("READY",K5)))</formula>
    </cfRule>
    <cfRule type="containsText" priority="5" operator="containsText" aboveAverage="0" equalAverage="0" bottom="0" percent="0" rank="0" text="IN_PROGRESS" dxfId="54">
      <formula>NOT(ISERROR(SEARCH("IN_PROGRESS",K5)))</formula>
    </cfRule>
    <cfRule type="containsText" priority="6" operator="containsText" aboveAverage="0" equalAverage="0" bottom="0" percent="0" rank="0" text="IMPLEMENTED_PENDING_REVIEW" dxfId="55">
      <formula>NOT(ISERROR(SEARCH("IMPLEMENTED_PENDING_REVIEW",K5)))</formula>
    </cfRule>
    <cfRule type="containsText" priority="7" operator="containsText" aboveAverage="0" equalAverage="0" bottom="0" percent="0" rank="0" text="VERIFIED" dxfId="56">
      <formula>NOT(ISERROR(SEARCH("VERIFIED",K5)))</formula>
    </cfRule>
    <cfRule type="containsText" priority="8" operator="containsText" aboveAverage="0" equalAverage="0" bottom="0" percent="0" rank="0" text="DEFERRED" dxfId="57">
      <formula>NOT(ISERROR(SEARCH("DEFERRED",K5)))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16.71"/>
    <col collapsed="false" customWidth="true" hidden="false" outlineLevel="0" max="3" min="3" style="0" width="28.65"/>
    <col collapsed="false" customWidth="true" hidden="false" outlineLevel="0" max="4" min="4" style="0" width="35.81"/>
    <col collapsed="false" customWidth="true" hidden="false" outlineLevel="0" max="5" min="5" style="0" width="41.78"/>
    <col collapsed="false" customWidth="true" hidden="false" outlineLevel="0" max="6" min="6" style="0" width="45.35"/>
    <col collapsed="false" customWidth="true" hidden="false" outlineLevel="0" max="7" min="7" style="0" width="53.71"/>
    <col collapsed="false" customWidth="true" hidden="false" outlineLevel="0" max="8" min="8" style="0" width="47.74"/>
    <col collapsed="false" customWidth="true" hidden="false" outlineLevel="0" max="9" min="9" style="0" width="23.87"/>
    <col collapsed="false" customWidth="true" hidden="false" outlineLevel="0" max="10" min="10" style="0" width="50.13"/>
    <col collapsed="false" customWidth="true" hidden="false" outlineLevel="0" max="11" min="11" style="0" width="41.78"/>
    <col collapsed="false" customWidth="true" hidden="false" outlineLevel="0" max="12" min="12" style="0" width="50.13"/>
    <col collapsed="false" customWidth="true" hidden="false" outlineLevel="0" max="13" min="13" style="0" width="26.26"/>
    <col collapsed="false" customWidth="true" hidden="false" outlineLevel="0" max="14" min="14" style="0" width="47.74"/>
  </cols>
  <sheetData>
    <row r="1" customFormat="false" ht="28" hidden="false" customHeight="true" outlineLevel="0" collapsed="false">
      <c r="A1" s="17" t="s">
        <v>1382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34" hidden="false" customHeight="true" outlineLevel="0" collapsed="false">
      <c r="A2" s="18" t="s">
        <v>1383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4" customFormat="false" ht="15" hidden="false" customHeight="false" outlineLevel="0" collapsed="false">
      <c r="A4" s="20" t="s">
        <v>1384</v>
      </c>
      <c r="B4" s="14" t="s">
        <v>1385</v>
      </c>
      <c r="C4" s="14" t="s">
        <v>1386</v>
      </c>
      <c r="D4" s="14" t="s">
        <v>1387</v>
      </c>
      <c r="E4" s="14" t="s">
        <v>1388</v>
      </c>
      <c r="F4" s="14" t="s">
        <v>1389</v>
      </c>
      <c r="G4" s="14" t="s">
        <v>1390</v>
      </c>
      <c r="H4" s="14" t="s">
        <v>1391</v>
      </c>
      <c r="I4" s="14" t="s">
        <v>1392</v>
      </c>
      <c r="J4" s="14" t="s">
        <v>1393</v>
      </c>
      <c r="K4" s="14" t="s">
        <v>1394</v>
      </c>
      <c r="L4" s="14" t="s">
        <v>1395</v>
      </c>
      <c r="M4" s="14" t="s">
        <v>1396</v>
      </c>
      <c r="N4" s="21" t="s">
        <v>1397</v>
      </c>
    </row>
    <row r="5" customFormat="false" ht="44" hidden="false" customHeight="true" outlineLevel="0" collapsed="false">
      <c r="A5" s="7" t="s">
        <v>1398</v>
      </c>
      <c r="B5" s="24" t="s">
        <v>380</v>
      </c>
      <c r="C5" s="7" t="s">
        <v>1399</v>
      </c>
      <c r="D5" s="7" t="s">
        <v>425</v>
      </c>
      <c r="E5" s="7" t="s">
        <v>1400</v>
      </c>
      <c r="F5" s="7" t="s">
        <v>1401</v>
      </c>
      <c r="G5" s="7" t="s">
        <v>1402</v>
      </c>
      <c r="H5" s="8" t="s">
        <v>1403</v>
      </c>
      <c r="I5" s="7" t="s">
        <v>30</v>
      </c>
      <c r="J5" s="7" t="s">
        <v>1404</v>
      </c>
      <c r="K5" s="7" t="s">
        <v>1405</v>
      </c>
      <c r="L5" s="7" t="s">
        <v>1406</v>
      </c>
      <c r="M5" s="7" t="s">
        <v>362</v>
      </c>
      <c r="N5" s="8" t="s">
        <v>1407</v>
      </c>
    </row>
    <row r="6" customFormat="false" ht="44" hidden="false" customHeight="true" outlineLevel="0" collapsed="false">
      <c r="A6" s="9" t="s">
        <v>1408</v>
      </c>
      <c r="B6" s="25" t="s">
        <v>380</v>
      </c>
      <c r="C6" s="9" t="s">
        <v>1399</v>
      </c>
      <c r="D6" s="9" t="s">
        <v>1409</v>
      </c>
      <c r="E6" s="9" t="s">
        <v>1400</v>
      </c>
      <c r="F6" s="9" t="s">
        <v>1410</v>
      </c>
      <c r="G6" s="10" t="s">
        <v>1411</v>
      </c>
      <c r="H6" s="10" t="s">
        <v>1412</v>
      </c>
      <c r="I6" s="9" t="s">
        <v>30</v>
      </c>
      <c r="J6" s="9" t="s">
        <v>1413</v>
      </c>
      <c r="K6" s="9" t="s">
        <v>1414</v>
      </c>
      <c r="L6" s="9" t="s">
        <v>1415</v>
      </c>
      <c r="M6" s="9" t="s">
        <v>362</v>
      </c>
      <c r="N6" s="10" t="s">
        <v>1416</v>
      </c>
    </row>
    <row r="7" customFormat="false" ht="15" hidden="false" customHeight="false" outlineLevel="0" collapsed="false">
      <c r="A7" s="26" t="s">
        <v>1417</v>
      </c>
      <c r="B7" s="26" t="s">
        <v>380</v>
      </c>
      <c r="C7" s="26" t="s">
        <v>1418</v>
      </c>
      <c r="D7" s="26" t="s">
        <v>362</v>
      </c>
      <c r="E7" s="26" t="s">
        <v>1419</v>
      </c>
      <c r="F7" s="26" t="s">
        <v>1420</v>
      </c>
      <c r="G7" s="27" t="s">
        <v>1421</v>
      </c>
      <c r="H7" s="27" t="s">
        <v>1422</v>
      </c>
      <c r="I7" s="26" t="s">
        <v>1423</v>
      </c>
      <c r="J7" s="26" t="s">
        <v>1424</v>
      </c>
      <c r="K7" s="26" t="s">
        <v>1425</v>
      </c>
      <c r="L7" s="26" t="s">
        <v>1426</v>
      </c>
      <c r="M7" s="26" t="s">
        <v>385</v>
      </c>
      <c r="N7" s="0" t="s">
        <v>1427</v>
      </c>
    </row>
    <row r="8" customFormat="false" ht="15" hidden="false" customHeight="false" outlineLevel="0" collapsed="false">
      <c r="A8" s="26" t="s">
        <v>1428</v>
      </c>
      <c r="B8" s="26" t="s">
        <v>11</v>
      </c>
      <c r="C8" s="26" t="s">
        <v>1429</v>
      </c>
      <c r="D8" s="26" t="s">
        <v>1051</v>
      </c>
      <c r="E8" s="26" t="s">
        <v>1430</v>
      </c>
      <c r="F8" s="26" t="s">
        <v>1431</v>
      </c>
      <c r="G8" s="27" t="s">
        <v>1432</v>
      </c>
      <c r="H8" s="27" t="s">
        <v>1433</v>
      </c>
      <c r="I8" s="26" t="s">
        <v>1434</v>
      </c>
      <c r="J8" s="26" t="s">
        <v>1435</v>
      </c>
      <c r="K8" s="26" t="s">
        <v>1436</v>
      </c>
      <c r="L8" s="26" t="s">
        <v>1437</v>
      </c>
      <c r="M8" s="26" t="s">
        <v>446</v>
      </c>
      <c r="N8" s="26" t="s">
        <v>1438</v>
      </c>
    </row>
    <row r="9" customFormat="false" ht="15" hidden="false" customHeight="false" outlineLevel="0" collapsed="false">
      <c r="A9" s="28" t="s">
        <v>1439</v>
      </c>
      <c r="B9" s="28" t="s">
        <v>11</v>
      </c>
      <c r="C9" s="28" t="s">
        <v>1429</v>
      </c>
      <c r="D9" s="28" t="s">
        <v>1440</v>
      </c>
      <c r="E9" s="28" t="s">
        <v>1441</v>
      </c>
      <c r="F9" s="28" t="s">
        <v>1442</v>
      </c>
      <c r="G9" s="28" t="s">
        <v>1443</v>
      </c>
      <c r="H9" s="28" t="s">
        <v>1444</v>
      </c>
      <c r="I9" s="28" t="s">
        <v>1445</v>
      </c>
      <c r="J9" s="28" t="s">
        <v>1446</v>
      </c>
      <c r="K9" s="28" t="s">
        <v>1447</v>
      </c>
      <c r="L9" s="28" t="s">
        <v>1448</v>
      </c>
      <c r="M9" s="28" t="s">
        <v>1449</v>
      </c>
      <c r="N9" s="28" t="s">
        <v>1450</v>
      </c>
    </row>
  </sheetData>
  <mergeCells count="2">
    <mergeCell ref="A1:N1"/>
    <mergeCell ref="A2:N2"/>
  </mergeCells>
  <conditionalFormatting sqref="I5:I6">
    <cfRule type="containsText" priority="2" operator="containsText" aboveAverage="0" equalAverage="0" bottom="0" percent="0" rank="0" text="BLOCKED" dxfId="58">
      <formula>NOT(ISERROR(SEARCH("BLOCKED",I5)))</formula>
    </cfRule>
    <cfRule type="containsText" priority="3" operator="containsText" aboveAverage="0" equalAverage="0" bottom="0" percent="0" rank="0" text="REVIEW_FAILED" dxfId="59">
      <formula>NOT(ISERROR(SEARCH("REVIEW_FAILED",I5)))</formula>
    </cfRule>
    <cfRule type="containsText" priority="4" operator="containsText" aboveAverage="0" equalAverage="0" bottom="0" percent="0" rank="0" text="READY" dxfId="60">
      <formula>NOT(ISERROR(SEARCH("READY",I5)))</formula>
    </cfRule>
    <cfRule type="containsText" priority="5" operator="containsText" aboveAverage="0" equalAverage="0" bottom="0" percent="0" rank="0" text="IN_PROGRESS" dxfId="61">
      <formula>NOT(ISERROR(SEARCH("IN_PROGRESS",I5)))</formula>
    </cfRule>
    <cfRule type="containsText" priority="6" operator="containsText" aboveAverage="0" equalAverage="0" bottom="0" percent="0" rank="0" text="IMPLEMENTED_PENDING_REVIEW" dxfId="62">
      <formula>NOT(ISERROR(SEARCH("IMPLEMENTED_PENDING_REVIEW",I5)))</formula>
    </cfRule>
    <cfRule type="containsText" priority="7" operator="containsText" aboveAverage="0" equalAverage="0" bottom="0" percent="0" rank="0" text="VERIFIED" dxfId="63">
      <formula>NOT(ISERROR(SEARCH("VERIFIED",I5)))</formula>
    </cfRule>
    <cfRule type="containsText" priority="8" operator="containsText" aboveAverage="0" equalAverage="0" bottom="0" percent="0" rank="0" text="DEFERRED" dxfId="64">
      <formula>NOT(ISERROR(SEARCH("DEFERRED",I5)))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28.65"/>
    <col collapsed="false" customWidth="true" hidden="false" outlineLevel="0" max="3" min="3" style="0" width="33.42"/>
    <col collapsed="false" customWidth="true" hidden="false" outlineLevel="0" max="5" min="4" style="0" width="50.13"/>
    <col collapsed="false" customWidth="true" hidden="false" outlineLevel="0" max="6" min="6" style="0" width="42.97"/>
    <col collapsed="false" customWidth="true" hidden="false" outlineLevel="0" max="7" min="7" style="0" width="62.06"/>
    <col collapsed="false" customWidth="true" hidden="false" outlineLevel="0" max="8" min="8" style="0" width="16.71"/>
    <col collapsed="false" customWidth="true" hidden="false" outlineLevel="0" max="9" min="9" style="0" width="14.33"/>
    <col collapsed="false" customWidth="true" hidden="false" outlineLevel="0" max="11" min="10" style="0" width="50.13"/>
    <col collapsed="false" customWidth="true" hidden="false" outlineLevel="0" max="12" min="12" style="0" width="53.71"/>
    <col collapsed="false" customWidth="true" hidden="false" outlineLevel="0" max="13" min="13" style="0" width="35.81"/>
    <col collapsed="false" customWidth="true" hidden="false" outlineLevel="0" max="14" min="14" style="0" width="33.42"/>
  </cols>
  <sheetData>
    <row r="1" customFormat="false" ht="28" hidden="false" customHeight="true" outlineLevel="0" collapsed="false">
      <c r="A1" s="17" t="s">
        <v>1451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34" hidden="false" customHeight="true" outlineLevel="0" collapsed="false">
      <c r="A2" s="18" t="s">
        <v>1452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4" customFormat="false" ht="15" hidden="false" customHeight="false" outlineLevel="0" collapsed="false">
      <c r="A4" s="20" t="s">
        <v>1453</v>
      </c>
      <c r="B4" s="14" t="s">
        <v>1454</v>
      </c>
      <c r="C4" s="14" t="s">
        <v>1455</v>
      </c>
      <c r="D4" s="14" t="s">
        <v>1456</v>
      </c>
      <c r="E4" s="14" t="s">
        <v>315</v>
      </c>
      <c r="F4" s="14" t="s">
        <v>1457</v>
      </c>
      <c r="G4" s="14" t="s">
        <v>1458</v>
      </c>
      <c r="H4" s="14" t="s">
        <v>1459</v>
      </c>
      <c r="I4" s="14" t="s">
        <v>1460</v>
      </c>
      <c r="J4" s="14" t="s">
        <v>1461</v>
      </c>
      <c r="K4" s="14" t="s">
        <v>1462</v>
      </c>
      <c r="L4" s="14" t="s">
        <v>1463</v>
      </c>
      <c r="M4" s="14" t="s">
        <v>1464</v>
      </c>
      <c r="N4" s="21" t="s">
        <v>1465</v>
      </c>
    </row>
    <row r="5" customFormat="false" ht="44" hidden="false" customHeight="true" outlineLevel="0" collapsed="false">
      <c r="A5" s="7" t="s">
        <v>1466</v>
      </c>
      <c r="B5" s="7" t="s">
        <v>1467</v>
      </c>
      <c r="C5" s="7" t="s">
        <v>1468</v>
      </c>
      <c r="D5" s="7" t="s">
        <v>1469</v>
      </c>
      <c r="E5" s="7" t="s">
        <v>1470</v>
      </c>
      <c r="F5" s="8" t="s">
        <v>1471</v>
      </c>
      <c r="G5" s="7" t="s">
        <v>1472</v>
      </c>
      <c r="H5" s="7" t="s">
        <v>1473</v>
      </c>
      <c r="I5" s="7" t="s">
        <v>1474</v>
      </c>
      <c r="J5" s="8" t="s">
        <v>1475</v>
      </c>
      <c r="K5" s="8" t="s">
        <v>1476</v>
      </c>
      <c r="L5" s="8" t="s">
        <v>1477</v>
      </c>
      <c r="M5" s="7" t="s">
        <v>1478</v>
      </c>
      <c r="N5" s="7" t="s">
        <v>1479</v>
      </c>
    </row>
    <row r="6" customFormat="false" ht="44" hidden="false" customHeight="true" outlineLevel="0" collapsed="false">
      <c r="A6" s="9" t="s">
        <v>1480</v>
      </c>
      <c r="B6" s="9" t="s">
        <v>1481</v>
      </c>
      <c r="C6" s="9" t="s">
        <v>1482</v>
      </c>
      <c r="D6" s="9" t="s">
        <v>1483</v>
      </c>
      <c r="E6" s="9" t="s">
        <v>1484</v>
      </c>
      <c r="F6" s="10" t="s">
        <v>1485</v>
      </c>
      <c r="G6" s="10" t="s">
        <v>1486</v>
      </c>
      <c r="H6" s="10" t="s">
        <v>1487</v>
      </c>
      <c r="I6" s="9" t="s">
        <v>1488</v>
      </c>
      <c r="J6" s="10" t="s">
        <v>1489</v>
      </c>
      <c r="K6" s="10" t="s">
        <v>1490</v>
      </c>
      <c r="L6" s="10" t="s">
        <v>1491</v>
      </c>
      <c r="M6" s="9" t="s">
        <v>1492</v>
      </c>
      <c r="N6" s="9" t="s">
        <v>1493</v>
      </c>
    </row>
    <row r="7" customFormat="false" ht="44" hidden="false" customHeight="true" outlineLevel="0" collapsed="false">
      <c r="A7" s="9" t="s">
        <v>444</v>
      </c>
      <c r="B7" s="9" t="s">
        <v>378</v>
      </c>
      <c r="C7" s="9" t="s">
        <v>1494</v>
      </c>
      <c r="D7" s="9" t="s">
        <v>1495</v>
      </c>
      <c r="E7" s="9" t="s">
        <v>1496</v>
      </c>
      <c r="F7" s="10" t="s">
        <v>1497</v>
      </c>
      <c r="G7" s="10" t="s">
        <v>1498</v>
      </c>
      <c r="H7" s="9" t="s">
        <v>1473</v>
      </c>
      <c r="I7" s="9" t="s">
        <v>1474</v>
      </c>
      <c r="J7" s="10" t="s">
        <v>1499</v>
      </c>
      <c r="K7" s="9" t="s">
        <v>1500</v>
      </c>
      <c r="L7" s="10" t="s">
        <v>1501</v>
      </c>
      <c r="M7" s="9" t="s">
        <v>1502</v>
      </c>
      <c r="N7" s="9" t="s">
        <v>1503</v>
      </c>
    </row>
    <row r="8" customFormat="false" ht="15" hidden="false" customHeight="false" outlineLevel="0" collapsed="false">
      <c r="A8" s="26" t="s">
        <v>382</v>
      </c>
      <c r="B8" s="26" t="s">
        <v>1028</v>
      </c>
      <c r="C8" s="26" t="s">
        <v>362</v>
      </c>
      <c r="D8" s="27" t="s">
        <v>1504</v>
      </c>
      <c r="E8" s="26" t="s">
        <v>1505</v>
      </c>
      <c r="F8" s="27" t="s">
        <v>1506</v>
      </c>
      <c r="G8" s="0" t="s">
        <v>1507</v>
      </c>
      <c r="H8" s="26" t="s">
        <v>1473</v>
      </c>
      <c r="I8" s="26" t="s">
        <v>1474</v>
      </c>
      <c r="J8" s="27" t="s">
        <v>1508</v>
      </c>
      <c r="K8" s="0" t="s">
        <v>1509</v>
      </c>
      <c r="L8" s="27" t="s">
        <v>1510</v>
      </c>
      <c r="M8" s="27" t="s">
        <v>1511</v>
      </c>
      <c r="N8" s="26" t="s">
        <v>1423</v>
      </c>
    </row>
  </sheetData>
  <mergeCells count="2">
    <mergeCell ref="A1:N1"/>
    <mergeCell ref="A2:N2"/>
  </mergeCells>
  <conditionalFormatting sqref="N5:N7">
    <cfRule type="containsText" priority="2" operator="containsText" aboveAverage="0" equalAverage="0" bottom="0" percent="0" rank="0" text="BLOCKED" dxfId="65">
      <formula>NOT(ISERROR(SEARCH("BLOCKED",N5)))</formula>
    </cfRule>
    <cfRule type="containsText" priority="3" operator="containsText" aboveAverage="0" equalAverage="0" bottom="0" percent="0" rank="0" text="REVIEW_FAILED" dxfId="66">
      <formula>NOT(ISERROR(SEARCH("REVIEW_FAILED",N5)))</formula>
    </cfRule>
    <cfRule type="containsText" priority="4" operator="containsText" aboveAverage="0" equalAverage="0" bottom="0" percent="0" rank="0" text="READY" dxfId="67">
      <formula>NOT(ISERROR(SEARCH("READY",N5)))</formula>
    </cfRule>
    <cfRule type="containsText" priority="5" operator="containsText" aboveAverage="0" equalAverage="0" bottom="0" percent="0" rank="0" text="IN_PROGRESS" dxfId="68">
      <formula>NOT(ISERROR(SEARCH("IN_PROGRESS",N5)))</formula>
    </cfRule>
    <cfRule type="containsText" priority="6" operator="containsText" aboveAverage="0" equalAverage="0" bottom="0" percent="0" rank="0" text="IMPLEMENTED_PENDING_REVIEW" dxfId="69">
      <formula>NOT(ISERROR(SEARCH("IMPLEMENTED_PENDING_REVIEW",N5)))</formula>
    </cfRule>
    <cfRule type="containsText" priority="7" operator="containsText" aboveAverage="0" equalAverage="0" bottom="0" percent="0" rank="0" text="VERIFIED" dxfId="70">
      <formula>NOT(ISERROR(SEARCH("VERIFIED",N5)))</formula>
    </cfRule>
    <cfRule type="containsText" priority="8" operator="containsText" aboveAverage="0" equalAverage="0" bottom="0" percent="0" rank="0" text="DEFERRED" dxfId="71">
      <formula>NOT(ISERROR(SEARCH("DEFERRED",N5)))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14.33"/>
    <col collapsed="false" customWidth="true" hidden="false" outlineLevel="0" max="3" min="3" style="0" width="62.06"/>
    <col collapsed="false" customWidth="true" hidden="false" outlineLevel="0" max="4" min="4" style="0" width="50.13"/>
    <col collapsed="false" customWidth="true" hidden="false" outlineLevel="0" max="5" min="5" style="0" width="42.97"/>
    <col collapsed="false" customWidth="true" hidden="false" outlineLevel="0" max="6" min="6" style="0" width="57.29"/>
    <col collapsed="false" customWidth="true" hidden="false" outlineLevel="0" max="7" min="7" style="0" width="45.35"/>
    <col collapsed="false" customWidth="true" hidden="false" outlineLevel="0" max="8" min="8" style="0" width="21.48"/>
    <col collapsed="false" customWidth="true" hidden="false" outlineLevel="0" max="9" min="9" style="0" width="28.65"/>
    <col collapsed="false" customWidth="true" hidden="false" outlineLevel="0" max="10" min="10" style="0" width="16.71"/>
    <col collapsed="false" customWidth="true" hidden="false" outlineLevel="0" max="11" min="11" style="0" width="42.97"/>
    <col collapsed="false" customWidth="true" hidden="false" outlineLevel="0" max="12" min="12" style="0" width="21.48"/>
  </cols>
  <sheetData>
    <row r="1" customFormat="false" ht="28" hidden="false" customHeight="true" outlineLevel="0" collapsed="false">
      <c r="A1" s="17" t="s">
        <v>1512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34" hidden="false" customHeight="true" outlineLevel="0" collapsed="false">
      <c r="A2" s="18" t="s">
        <v>1513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customFormat="false" ht="15" hidden="false" customHeight="false" outlineLevel="0" collapsed="false">
      <c r="A4" s="20" t="s">
        <v>1514</v>
      </c>
      <c r="B4" s="14" t="s">
        <v>1515</v>
      </c>
      <c r="C4" s="14" t="s">
        <v>1516</v>
      </c>
      <c r="D4" s="14" t="s">
        <v>1289</v>
      </c>
      <c r="E4" s="14" t="s">
        <v>1517</v>
      </c>
      <c r="F4" s="14" t="s">
        <v>1518</v>
      </c>
      <c r="G4" s="14" t="s">
        <v>1519</v>
      </c>
      <c r="H4" s="14" t="s">
        <v>1520</v>
      </c>
      <c r="I4" s="14" t="s">
        <v>1521</v>
      </c>
      <c r="J4" s="14" t="s">
        <v>1385</v>
      </c>
      <c r="K4" s="14" t="s">
        <v>1522</v>
      </c>
      <c r="L4" s="21" t="s">
        <v>325</v>
      </c>
    </row>
    <row r="5" customFormat="false" ht="44" hidden="false" customHeight="true" outlineLevel="0" collapsed="false">
      <c r="A5" s="7" t="s">
        <v>1523</v>
      </c>
      <c r="B5" s="7" t="s">
        <v>324</v>
      </c>
      <c r="C5" s="7" t="s">
        <v>1524</v>
      </c>
      <c r="D5" s="7" t="s">
        <v>1525</v>
      </c>
      <c r="E5" s="7" t="s">
        <v>1526</v>
      </c>
      <c r="F5" s="7" t="s">
        <v>1527</v>
      </c>
      <c r="G5" s="8" t="s">
        <v>1528</v>
      </c>
      <c r="H5" s="8" t="s">
        <v>1326</v>
      </c>
      <c r="I5" s="7" t="s">
        <v>1529</v>
      </c>
      <c r="J5" s="24" t="s">
        <v>380</v>
      </c>
      <c r="K5" s="7" t="s">
        <v>1530</v>
      </c>
      <c r="L5" s="7" t="s">
        <v>1531</v>
      </c>
    </row>
    <row r="6" customFormat="false" ht="44" hidden="false" customHeight="true" outlineLevel="0" collapsed="false">
      <c r="A6" s="9" t="s">
        <v>1532</v>
      </c>
      <c r="B6" s="9" t="s">
        <v>324</v>
      </c>
      <c r="C6" s="9" t="s">
        <v>1533</v>
      </c>
      <c r="D6" s="9" t="s">
        <v>1534</v>
      </c>
      <c r="E6" s="10" t="s">
        <v>1535</v>
      </c>
      <c r="F6" s="9" t="s">
        <v>1536</v>
      </c>
      <c r="G6" s="10" t="s">
        <v>1537</v>
      </c>
      <c r="H6" s="10" t="s">
        <v>1326</v>
      </c>
      <c r="I6" s="9" t="s">
        <v>1529</v>
      </c>
      <c r="J6" s="25" t="s">
        <v>380</v>
      </c>
      <c r="K6" s="9" t="s">
        <v>467</v>
      </c>
      <c r="L6" s="9" t="s">
        <v>1531</v>
      </c>
    </row>
    <row r="7" customFormat="false" ht="44" hidden="false" customHeight="true" outlineLevel="0" collapsed="false">
      <c r="A7" s="9" t="s">
        <v>1538</v>
      </c>
      <c r="B7" s="9" t="s">
        <v>324</v>
      </c>
      <c r="C7" s="9" t="s">
        <v>1539</v>
      </c>
      <c r="D7" s="10" t="s">
        <v>1540</v>
      </c>
      <c r="E7" s="10" t="s">
        <v>1541</v>
      </c>
      <c r="F7" s="9" t="s">
        <v>1542</v>
      </c>
      <c r="G7" s="10" t="s">
        <v>1543</v>
      </c>
      <c r="H7" s="10" t="s">
        <v>1544</v>
      </c>
      <c r="I7" s="9" t="s">
        <v>1545</v>
      </c>
      <c r="J7" s="25" t="s">
        <v>380</v>
      </c>
      <c r="K7" s="9" t="s">
        <v>1546</v>
      </c>
      <c r="L7" s="9" t="s">
        <v>1531</v>
      </c>
    </row>
    <row r="8" customFormat="false" ht="44" hidden="false" customHeight="true" outlineLevel="0" collapsed="false">
      <c r="A8" s="9" t="s">
        <v>1547</v>
      </c>
      <c r="B8" s="9" t="s">
        <v>324</v>
      </c>
      <c r="C8" s="9" t="s">
        <v>1548</v>
      </c>
      <c r="D8" s="9" t="s">
        <v>1549</v>
      </c>
      <c r="E8" s="10" t="s">
        <v>1550</v>
      </c>
      <c r="F8" s="9" t="s">
        <v>1551</v>
      </c>
      <c r="G8" s="10" t="s">
        <v>1552</v>
      </c>
      <c r="H8" s="10" t="s">
        <v>1326</v>
      </c>
      <c r="I8" s="9" t="s">
        <v>1553</v>
      </c>
      <c r="J8" s="25" t="s">
        <v>380</v>
      </c>
      <c r="K8" s="9" t="s">
        <v>671</v>
      </c>
      <c r="L8" s="9" t="s">
        <v>1531</v>
      </c>
    </row>
    <row r="9" customFormat="false" ht="44" hidden="false" customHeight="true" outlineLevel="0" collapsed="false">
      <c r="A9" s="9" t="s">
        <v>1554</v>
      </c>
      <c r="B9" s="9" t="s">
        <v>324</v>
      </c>
      <c r="C9" s="10" t="s">
        <v>1555</v>
      </c>
      <c r="D9" s="9" t="s">
        <v>1556</v>
      </c>
      <c r="E9" s="10" t="s">
        <v>1557</v>
      </c>
      <c r="F9" s="9" t="s">
        <v>1558</v>
      </c>
      <c r="G9" s="10" t="s">
        <v>1559</v>
      </c>
      <c r="H9" s="10" t="s">
        <v>1326</v>
      </c>
      <c r="I9" s="9" t="s">
        <v>1560</v>
      </c>
      <c r="J9" s="25" t="s">
        <v>380</v>
      </c>
      <c r="K9" s="9" t="s">
        <v>1201</v>
      </c>
      <c r="L9" s="9" t="s">
        <v>1531</v>
      </c>
    </row>
    <row r="10" customFormat="false" ht="44" hidden="false" customHeight="true" outlineLevel="0" collapsed="false">
      <c r="A10" s="9" t="s">
        <v>1561</v>
      </c>
      <c r="B10" s="9" t="s">
        <v>1518</v>
      </c>
      <c r="C10" s="10" t="s">
        <v>1562</v>
      </c>
      <c r="D10" s="10" t="s">
        <v>1563</v>
      </c>
      <c r="E10" s="10" t="s">
        <v>1564</v>
      </c>
      <c r="F10" s="10" t="s">
        <v>1565</v>
      </c>
      <c r="G10" s="10" t="s">
        <v>1566</v>
      </c>
      <c r="H10" s="10" t="s">
        <v>1567</v>
      </c>
      <c r="I10" s="9" t="s">
        <v>1568</v>
      </c>
      <c r="J10" s="25" t="s">
        <v>380</v>
      </c>
      <c r="K10" s="9" t="s">
        <v>567</v>
      </c>
      <c r="L10" s="9" t="s">
        <v>1569</v>
      </c>
    </row>
    <row r="11" customFormat="false" ht="44" hidden="false" customHeight="true" outlineLevel="0" collapsed="false">
      <c r="A11" s="9" t="s">
        <v>1570</v>
      </c>
      <c r="B11" s="9" t="s">
        <v>1518</v>
      </c>
      <c r="C11" s="10" t="s">
        <v>1571</v>
      </c>
      <c r="D11" s="10" t="s">
        <v>1572</v>
      </c>
      <c r="E11" s="10" t="s">
        <v>1573</v>
      </c>
      <c r="F11" s="9" t="s">
        <v>1574</v>
      </c>
      <c r="G11" s="10" t="s">
        <v>1575</v>
      </c>
      <c r="H11" s="10" t="s">
        <v>1326</v>
      </c>
      <c r="I11" s="9" t="s">
        <v>1529</v>
      </c>
      <c r="J11" s="25" t="s">
        <v>380</v>
      </c>
      <c r="K11" s="9" t="s">
        <v>1576</v>
      </c>
      <c r="L11" s="9" t="s">
        <v>1569</v>
      </c>
    </row>
    <row r="12" customFormat="false" ht="44" hidden="false" customHeight="true" outlineLevel="0" collapsed="false">
      <c r="A12" s="9" t="s">
        <v>1577</v>
      </c>
      <c r="B12" s="9" t="s">
        <v>324</v>
      </c>
      <c r="C12" s="10" t="s">
        <v>1578</v>
      </c>
      <c r="D12" s="9" t="s">
        <v>1579</v>
      </c>
      <c r="E12" s="10" t="s">
        <v>1580</v>
      </c>
      <c r="F12" s="9" t="s">
        <v>1581</v>
      </c>
      <c r="G12" s="10" t="s">
        <v>1582</v>
      </c>
      <c r="H12" s="10" t="s">
        <v>1326</v>
      </c>
      <c r="I12" s="9" t="s">
        <v>1583</v>
      </c>
      <c r="J12" s="25" t="s">
        <v>380</v>
      </c>
      <c r="K12" s="9" t="s">
        <v>1584</v>
      </c>
      <c r="L12" s="9" t="s">
        <v>1531</v>
      </c>
    </row>
    <row r="13" customFormat="false" ht="44" hidden="false" customHeight="true" outlineLevel="0" collapsed="false">
      <c r="A13" s="9" t="s">
        <v>1585</v>
      </c>
      <c r="B13" s="9" t="s">
        <v>324</v>
      </c>
      <c r="C13" s="10" t="s">
        <v>1586</v>
      </c>
      <c r="D13" s="9" t="s">
        <v>1587</v>
      </c>
      <c r="E13" s="10" t="s">
        <v>1588</v>
      </c>
      <c r="F13" s="9" t="s">
        <v>1589</v>
      </c>
      <c r="G13" s="10" t="s">
        <v>1590</v>
      </c>
      <c r="H13" s="10" t="s">
        <v>1591</v>
      </c>
      <c r="I13" s="9" t="s">
        <v>1592</v>
      </c>
      <c r="J13" s="25" t="s">
        <v>380</v>
      </c>
      <c r="K13" s="9" t="s">
        <v>362</v>
      </c>
      <c r="L13" s="9" t="s">
        <v>1593</v>
      </c>
    </row>
    <row r="14" customFormat="false" ht="44" hidden="false" customHeight="true" outlineLevel="0" collapsed="false">
      <c r="A14" s="9" t="s">
        <v>1594</v>
      </c>
      <c r="B14" s="9" t="s">
        <v>324</v>
      </c>
      <c r="C14" s="10" t="s">
        <v>1595</v>
      </c>
      <c r="D14" s="9" t="s">
        <v>1596</v>
      </c>
      <c r="E14" s="10" t="s">
        <v>1597</v>
      </c>
      <c r="F14" s="10" t="s">
        <v>1598</v>
      </c>
      <c r="G14" s="10" t="s">
        <v>1599</v>
      </c>
      <c r="H14" s="10" t="s">
        <v>1567</v>
      </c>
      <c r="I14" s="9" t="s">
        <v>1592</v>
      </c>
      <c r="J14" s="25" t="s">
        <v>380</v>
      </c>
      <c r="K14" s="9" t="s">
        <v>446</v>
      </c>
      <c r="L14" s="9" t="s">
        <v>1531</v>
      </c>
    </row>
    <row r="15" customFormat="false" ht="44" hidden="false" customHeight="true" outlineLevel="0" collapsed="false">
      <c r="A15" s="9" t="s">
        <v>1600</v>
      </c>
      <c r="B15" s="9" t="s">
        <v>324</v>
      </c>
      <c r="C15" s="10" t="s">
        <v>1601</v>
      </c>
      <c r="D15" s="9" t="s">
        <v>1602</v>
      </c>
      <c r="E15" s="10" t="s">
        <v>1603</v>
      </c>
      <c r="F15" s="9" t="s">
        <v>1604</v>
      </c>
      <c r="G15" s="10" t="s">
        <v>1605</v>
      </c>
      <c r="H15" s="10" t="s">
        <v>1567</v>
      </c>
      <c r="I15" s="9" t="s">
        <v>1606</v>
      </c>
      <c r="J15" s="25" t="s">
        <v>380</v>
      </c>
      <c r="K15" s="9" t="s">
        <v>1607</v>
      </c>
      <c r="L15" s="9" t="s">
        <v>1531</v>
      </c>
    </row>
    <row r="16" customFormat="false" ht="44" hidden="false" customHeight="true" outlineLevel="0" collapsed="false">
      <c r="A16" s="9" t="s">
        <v>1608</v>
      </c>
      <c r="B16" s="9" t="s">
        <v>1518</v>
      </c>
      <c r="C16" s="10" t="s">
        <v>1609</v>
      </c>
      <c r="D16" s="10" t="s">
        <v>1610</v>
      </c>
      <c r="E16" s="10" t="s">
        <v>1611</v>
      </c>
      <c r="F16" s="10" t="s">
        <v>1612</v>
      </c>
      <c r="G16" s="10" t="s">
        <v>1613</v>
      </c>
      <c r="H16" s="10" t="s">
        <v>1326</v>
      </c>
      <c r="I16" s="9" t="s">
        <v>402</v>
      </c>
      <c r="J16" s="25" t="s">
        <v>380</v>
      </c>
      <c r="K16" s="9" t="s">
        <v>1614</v>
      </c>
      <c r="L16" s="9" t="s">
        <v>1150</v>
      </c>
    </row>
    <row r="17" customFormat="false" ht="44" hidden="false" customHeight="true" outlineLevel="0" collapsed="false">
      <c r="A17" s="9" t="s">
        <v>1615</v>
      </c>
      <c r="B17" s="9" t="s">
        <v>1518</v>
      </c>
      <c r="C17" s="10" t="s">
        <v>1616</v>
      </c>
      <c r="D17" s="10" t="s">
        <v>1617</v>
      </c>
      <c r="E17" s="10" t="s">
        <v>1618</v>
      </c>
      <c r="F17" s="10" t="s">
        <v>1619</v>
      </c>
      <c r="G17" s="10" t="s">
        <v>1620</v>
      </c>
      <c r="H17" s="10" t="s">
        <v>1591</v>
      </c>
      <c r="I17" s="9" t="s">
        <v>402</v>
      </c>
      <c r="J17" s="25" t="s">
        <v>380</v>
      </c>
      <c r="K17" s="9" t="s">
        <v>446</v>
      </c>
      <c r="L17" s="9" t="s">
        <v>1150</v>
      </c>
    </row>
    <row r="18" customFormat="false" ht="44" hidden="false" customHeight="true" outlineLevel="0" collapsed="false">
      <c r="A18" s="9" t="s">
        <v>1621</v>
      </c>
      <c r="B18" s="9" t="s">
        <v>1518</v>
      </c>
      <c r="C18" s="10" t="s">
        <v>1622</v>
      </c>
      <c r="D18" s="10" t="s">
        <v>1617</v>
      </c>
      <c r="E18" s="10" t="s">
        <v>1623</v>
      </c>
      <c r="F18" s="9" t="s">
        <v>1624</v>
      </c>
      <c r="G18" s="10" t="s">
        <v>1625</v>
      </c>
      <c r="H18" s="10" t="s">
        <v>1591</v>
      </c>
      <c r="I18" s="9" t="s">
        <v>1592</v>
      </c>
      <c r="J18" s="25" t="s">
        <v>380</v>
      </c>
      <c r="K18" s="9" t="s">
        <v>425</v>
      </c>
      <c r="L18" s="9" t="s">
        <v>1150</v>
      </c>
    </row>
    <row r="19" customFormat="false" ht="15" hidden="false" customHeight="false" outlineLevel="0" collapsed="false">
      <c r="A19" s="26" t="s">
        <v>1626</v>
      </c>
      <c r="B19" s="26" t="s">
        <v>1518</v>
      </c>
      <c r="C19" s="27" t="s">
        <v>1627</v>
      </c>
      <c r="D19" s="0" t="s">
        <v>1628</v>
      </c>
      <c r="E19" s="0" t="s">
        <v>1629</v>
      </c>
      <c r="F19" s="0" t="s">
        <v>1630</v>
      </c>
      <c r="G19" s="0" t="s">
        <v>1631</v>
      </c>
      <c r="H19" s="0" t="s">
        <v>1591</v>
      </c>
      <c r="I19" s="26" t="s">
        <v>402</v>
      </c>
      <c r="J19" s="26" t="s">
        <v>11</v>
      </c>
      <c r="K19" s="26" t="s">
        <v>1632</v>
      </c>
      <c r="L19" s="26" t="s">
        <v>1150</v>
      </c>
    </row>
  </sheetData>
  <mergeCells count="2">
    <mergeCell ref="A1:L1"/>
    <mergeCell ref="A2:L2"/>
  </mergeCells>
  <conditionalFormatting sqref="L5:L18">
    <cfRule type="containsText" priority="2" operator="containsText" aboveAverage="0" equalAverage="0" bottom="0" percent="0" rank="0" text="BLOCKED" dxfId="72">
      <formula>NOT(ISERROR(SEARCH("BLOCKED",L5)))</formula>
    </cfRule>
    <cfRule type="containsText" priority="3" operator="containsText" aboveAverage="0" equalAverage="0" bottom="0" percent="0" rank="0" text="REVIEW_FAILED" dxfId="73">
      <formula>NOT(ISERROR(SEARCH("REVIEW_FAILED",L5)))</formula>
    </cfRule>
    <cfRule type="containsText" priority="4" operator="containsText" aboveAverage="0" equalAverage="0" bottom="0" percent="0" rank="0" text="READY" dxfId="74">
      <formula>NOT(ISERROR(SEARCH("READY",L5)))</formula>
    </cfRule>
    <cfRule type="containsText" priority="5" operator="containsText" aboveAverage="0" equalAverage="0" bottom="0" percent="0" rank="0" text="IN_PROGRESS" dxfId="75">
      <formula>NOT(ISERROR(SEARCH("IN_PROGRESS",L5)))</formula>
    </cfRule>
    <cfRule type="containsText" priority="6" operator="containsText" aboveAverage="0" equalAverage="0" bottom="0" percent="0" rank="0" text="IMPLEMENTED_PENDING_REVIEW" dxfId="76">
      <formula>NOT(ISERROR(SEARCH("IMPLEMENTED_PENDING_REVIEW",L5)))</formula>
    </cfRule>
    <cfRule type="containsText" priority="7" operator="containsText" aboveAverage="0" equalAverage="0" bottom="0" percent="0" rank="0" text="VERIFIED" dxfId="77">
      <formula>NOT(ISERROR(SEARCH("VERIFIED",L5)))</formula>
    </cfRule>
    <cfRule type="containsText" priority="8" operator="containsText" aboveAverage="0" equalAverage="0" bottom="0" percent="0" rank="0" text="DEFERRED" dxfId="78">
      <formula>NOT(ISERROR(SEARCH("DEFERRED",L5)))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16.71"/>
    <col collapsed="false" customWidth="true" hidden="false" outlineLevel="0" max="3" min="3" style="0" width="26.26"/>
    <col collapsed="false" customWidth="true" hidden="false" outlineLevel="0" max="4" min="4" style="0" width="53.71"/>
    <col collapsed="false" customWidth="true" hidden="false" outlineLevel="0" max="5" min="5" style="0" width="65.65"/>
    <col collapsed="false" customWidth="true" hidden="false" outlineLevel="0" max="6" min="6" style="0" width="45.35"/>
    <col collapsed="false" customWidth="true" hidden="false" outlineLevel="0" max="7" min="7" style="0" width="23.87"/>
  </cols>
  <sheetData>
    <row r="1" customFormat="false" ht="28" hidden="false" customHeight="true" outlineLevel="0" collapsed="false">
      <c r="A1" s="17" t="s">
        <v>1633</v>
      </c>
      <c r="B1" s="17"/>
      <c r="C1" s="17"/>
      <c r="D1" s="17"/>
      <c r="E1" s="17"/>
      <c r="F1" s="17"/>
      <c r="G1" s="17"/>
    </row>
    <row r="2" customFormat="false" ht="34" hidden="false" customHeight="true" outlineLevel="0" collapsed="false">
      <c r="A2" s="18" t="s">
        <v>1634</v>
      </c>
      <c r="B2" s="18"/>
      <c r="C2" s="18"/>
      <c r="D2" s="18"/>
      <c r="E2" s="18"/>
      <c r="F2" s="18"/>
      <c r="G2" s="18"/>
    </row>
    <row r="4" customFormat="false" ht="15" hidden="false" customHeight="false" outlineLevel="0" collapsed="false">
      <c r="A4" s="20" t="s">
        <v>1635</v>
      </c>
      <c r="B4" s="14" t="s">
        <v>1385</v>
      </c>
      <c r="C4" s="14" t="s">
        <v>1636</v>
      </c>
      <c r="D4" s="14" t="s">
        <v>1637</v>
      </c>
      <c r="E4" s="14" t="s">
        <v>1638</v>
      </c>
      <c r="F4" s="14" t="s">
        <v>1639</v>
      </c>
      <c r="G4" s="21" t="s">
        <v>1453</v>
      </c>
    </row>
    <row r="5" customFormat="false" ht="44" hidden="false" customHeight="true" outlineLevel="0" collapsed="false">
      <c r="A5" s="7" t="s">
        <v>1640</v>
      </c>
      <c r="B5" s="24" t="s">
        <v>380</v>
      </c>
      <c r="C5" s="7" t="s">
        <v>354</v>
      </c>
      <c r="D5" s="8" t="s">
        <v>1641</v>
      </c>
      <c r="E5" s="8" t="s">
        <v>1642</v>
      </c>
      <c r="F5" s="8" t="s">
        <v>1643</v>
      </c>
      <c r="G5" s="7" t="s">
        <v>1466</v>
      </c>
    </row>
    <row r="6" customFormat="false" ht="44" hidden="false" customHeight="true" outlineLevel="0" collapsed="false">
      <c r="A6" s="9" t="s">
        <v>1644</v>
      </c>
      <c r="B6" s="25" t="s">
        <v>1645</v>
      </c>
      <c r="C6" s="9" t="s">
        <v>354</v>
      </c>
      <c r="D6" s="10" t="s">
        <v>1646</v>
      </c>
      <c r="E6" s="9" t="s">
        <v>1647</v>
      </c>
      <c r="F6" s="10" t="s">
        <v>1648</v>
      </c>
      <c r="G6" s="9" t="s">
        <v>1466</v>
      </c>
    </row>
    <row r="7" customFormat="false" ht="44" hidden="false" customHeight="true" outlineLevel="0" collapsed="false">
      <c r="A7" s="9" t="s">
        <v>1649</v>
      </c>
      <c r="B7" s="25" t="s">
        <v>380</v>
      </c>
      <c r="C7" s="9" t="s">
        <v>354</v>
      </c>
      <c r="D7" s="9" t="s">
        <v>1650</v>
      </c>
      <c r="E7" s="10" t="s">
        <v>1651</v>
      </c>
      <c r="F7" s="10" t="s">
        <v>1652</v>
      </c>
      <c r="G7" s="9" t="s">
        <v>1480</v>
      </c>
    </row>
    <row r="8" customFormat="false" ht="44" hidden="false" customHeight="true" outlineLevel="0" collapsed="false">
      <c r="A8" s="9" t="s">
        <v>1653</v>
      </c>
      <c r="B8" s="25" t="s">
        <v>380</v>
      </c>
      <c r="C8" s="9" t="s">
        <v>354</v>
      </c>
      <c r="D8" s="9" t="s">
        <v>1654</v>
      </c>
      <c r="E8" s="10" t="s">
        <v>1655</v>
      </c>
      <c r="F8" s="10" t="s">
        <v>1656</v>
      </c>
      <c r="G8" s="9" t="s">
        <v>444</v>
      </c>
    </row>
    <row r="9" customFormat="false" ht="44" hidden="false" customHeight="true" outlineLevel="0" collapsed="false">
      <c r="A9" s="9" t="s">
        <v>1657</v>
      </c>
      <c r="B9" s="25" t="s">
        <v>380</v>
      </c>
      <c r="C9" s="9" t="s">
        <v>354</v>
      </c>
      <c r="D9" s="9" t="s">
        <v>1658</v>
      </c>
      <c r="E9" s="9" t="s">
        <v>1659</v>
      </c>
      <c r="F9" s="10" t="s">
        <v>1660</v>
      </c>
      <c r="G9" s="9" t="s">
        <v>444</v>
      </c>
    </row>
    <row r="10" customFormat="false" ht="15" hidden="false" customHeight="false" outlineLevel="0" collapsed="false">
      <c r="A10" s="26" t="s">
        <v>1661</v>
      </c>
      <c r="B10" s="26" t="s">
        <v>380</v>
      </c>
      <c r="C10" s="26" t="s">
        <v>378</v>
      </c>
      <c r="D10" s="27" t="s">
        <v>1662</v>
      </c>
      <c r="E10" s="27" t="s">
        <v>1663</v>
      </c>
      <c r="F10" s="0" t="s">
        <v>1664</v>
      </c>
      <c r="G10" s="26" t="s">
        <v>382</v>
      </c>
    </row>
    <row r="11" customFormat="false" ht="15" hidden="false" customHeight="false" outlineLevel="0" collapsed="false">
      <c r="A11" s="26" t="s">
        <v>1665</v>
      </c>
      <c r="B11" s="26" t="s">
        <v>11</v>
      </c>
      <c r="C11" s="26" t="s">
        <v>354</v>
      </c>
      <c r="D11" s="27" t="s">
        <v>1666</v>
      </c>
      <c r="E11" s="27" t="s">
        <v>1667</v>
      </c>
      <c r="F11" s="0" t="s">
        <v>1668</v>
      </c>
      <c r="G11" s="26" t="s">
        <v>1669</v>
      </c>
    </row>
    <row r="12" customFormat="false" ht="15" hidden="false" customHeight="false" outlineLevel="0" collapsed="false">
      <c r="A12" s="28" t="s">
        <v>6</v>
      </c>
      <c r="B12" s="28" t="s">
        <v>11</v>
      </c>
      <c r="C12" s="28" t="s">
        <v>354</v>
      </c>
      <c r="D12" s="0" t="s">
        <v>1670</v>
      </c>
      <c r="E12" s="28" t="s">
        <v>1671</v>
      </c>
      <c r="F12" s="0" t="s">
        <v>1672</v>
      </c>
      <c r="G12" s="28" t="s">
        <v>1673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3.87"/>
    <col collapsed="false" customWidth="true" hidden="false" outlineLevel="0" max="2" min="2" style="0" width="65.65"/>
    <col collapsed="false" customWidth="true" hidden="false" outlineLevel="0" max="3" min="3" style="0" width="50.13"/>
    <col collapsed="false" customWidth="true" hidden="false" outlineLevel="0" max="4" min="4" style="0" width="45.35"/>
    <col collapsed="false" customWidth="true" hidden="false" outlineLevel="0" max="5" min="5" style="0" width="33.42"/>
  </cols>
  <sheetData>
    <row r="1" customFormat="false" ht="28" hidden="false" customHeight="true" outlineLevel="0" collapsed="false">
      <c r="A1" s="17" t="s">
        <v>1674</v>
      </c>
      <c r="B1" s="17"/>
      <c r="C1" s="17"/>
      <c r="D1" s="17"/>
      <c r="E1" s="17"/>
    </row>
    <row r="2" customFormat="false" ht="34" hidden="false" customHeight="true" outlineLevel="0" collapsed="false">
      <c r="A2" s="18" t="s">
        <v>1675</v>
      </c>
      <c r="B2" s="18"/>
      <c r="C2" s="18"/>
      <c r="D2" s="18"/>
      <c r="E2" s="18"/>
    </row>
    <row r="4" customFormat="false" ht="15" hidden="false" customHeight="false" outlineLevel="0" collapsed="false">
      <c r="A4" s="20" t="s">
        <v>1676</v>
      </c>
      <c r="B4" s="14" t="s">
        <v>1677</v>
      </c>
      <c r="C4" s="14" t="s">
        <v>1639</v>
      </c>
      <c r="D4" s="14" t="s">
        <v>1678</v>
      </c>
      <c r="E4" s="21" t="s">
        <v>1679</v>
      </c>
    </row>
    <row r="5" customFormat="false" ht="44" hidden="false" customHeight="true" outlineLevel="0" collapsed="false">
      <c r="A5" s="8" t="s">
        <v>14</v>
      </c>
      <c r="B5" s="29" t="s">
        <v>1680</v>
      </c>
      <c r="C5" s="7" t="s">
        <v>1681</v>
      </c>
      <c r="D5" s="29" t="s">
        <v>1682</v>
      </c>
      <c r="E5" s="8" t="s">
        <v>1683</v>
      </c>
    </row>
    <row r="6" customFormat="false" ht="44" hidden="false" customHeight="true" outlineLevel="0" collapsed="false">
      <c r="A6" s="9" t="s">
        <v>1684</v>
      </c>
      <c r="B6" s="10" t="s">
        <v>1685</v>
      </c>
      <c r="C6" s="10" t="s">
        <v>1686</v>
      </c>
      <c r="D6" s="10" t="s">
        <v>1687</v>
      </c>
      <c r="E6" s="10" t="s">
        <v>1617</v>
      </c>
    </row>
    <row r="7" customFormat="false" ht="44" hidden="false" customHeight="true" outlineLevel="0" collapsed="false">
      <c r="A7" s="9" t="s">
        <v>51</v>
      </c>
      <c r="B7" s="9" t="s">
        <v>1688</v>
      </c>
      <c r="C7" s="10" t="s">
        <v>1689</v>
      </c>
      <c r="D7" s="9" t="s">
        <v>1690</v>
      </c>
      <c r="E7" s="9" t="s">
        <v>1691</v>
      </c>
    </row>
    <row r="8" customFormat="false" ht="44" hidden="false" customHeight="true" outlineLevel="0" collapsed="false">
      <c r="A8" s="9" t="s">
        <v>1692</v>
      </c>
      <c r="B8" s="10" t="s">
        <v>1693</v>
      </c>
      <c r="C8" s="10" t="s">
        <v>1694</v>
      </c>
      <c r="D8" s="9" t="s">
        <v>1695</v>
      </c>
      <c r="E8" s="9" t="s">
        <v>1696</v>
      </c>
    </row>
    <row r="9" customFormat="false" ht="44" hidden="false" customHeight="true" outlineLevel="0" collapsed="false">
      <c r="A9" s="10" t="s">
        <v>1697</v>
      </c>
      <c r="B9" s="10" t="s">
        <v>1698</v>
      </c>
      <c r="C9" s="10" t="s">
        <v>1699</v>
      </c>
      <c r="D9" s="10" t="s">
        <v>1700</v>
      </c>
      <c r="E9" s="10" t="s">
        <v>1617</v>
      </c>
    </row>
    <row r="10" customFormat="false" ht="44" hidden="false" customHeight="true" outlineLevel="0" collapsed="false">
      <c r="A10" s="10" t="s">
        <v>1701</v>
      </c>
      <c r="B10" s="10" t="s">
        <v>1702</v>
      </c>
      <c r="C10" s="10" t="s">
        <v>1703</v>
      </c>
      <c r="D10" s="9" t="s">
        <v>1704</v>
      </c>
      <c r="E10" s="10" t="s">
        <v>1617</v>
      </c>
    </row>
    <row r="11" customFormat="false" ht="44" hidden="false" customHeight="true" outlineLevel="0" collapsed="false">
      <c r="A11" s="10" t="s">
        <v>1705</v>
      </c>
      <c r="B11" s="9" t="s">
        <v>1706</v>
      </c>
      <c r="C11" s="10" t="s">
        <v>1707</v>
      </c>
      <c r="D11" s="10" t="s">
        <v>1708</v>
      </c>
      <c r="E11" s="10" t="s">
        <v>1617</v>
      </c>
    </row>
    <row r="12" customFormat="false" ht="44" hidden="false" customHeight="true" outlineLevel="0" collapsed="false">
      <c r="A12" s="10" t="s">
        <v>1709</v>
      </c>
      <c r="B12" s="9" t="s">
        <v>1710</v>
      </c>
      <c r="C12" s="10" t="s">
        <v>1711</v>
      </c>
      <c r="D12" s="10" t="s">
        <v>1712</v>
      </c>
      <c r="E12" s="9" t="s">
        <v>1713</v>
      </c>
    </row>
    <row r="13" customFormat="false" ht="44" hidden="false" customHeight="true" outlineLevel="0" collapsed="false">
      <c r="A13" s="10" t="s">
        <v>1714</v>
      </c>
      <c r="B13" s="10" t="s">
        <v>1715</v>
      </c>
      <c r="C13" s="9" t="s">
        <v>1716</v>
      </c>
      <c r="D13" s="9" t="s">
        <v>1717</v>
      </c>
      <c r="E13" s="10" t="s">
        <v>1718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35.81"/>
    <col collapsed="false" customWidth="true" hidden="false" outlineLevel="0" max="2" min="2" style="0" width="53.71"/>
    <col collapsed="false" customWidth="true" hidden="false" outlineLevel="0" max="3" min="3" style="0" width="35.81"/>
    <col collapsed="false" customWidth="true" hidden="false" outlineLevel="0" max="4" min="4" style="0" width="33.42"/>
    <col collapsed="false" customWidth="true" hidden="false" outlineLevel="0" max="5" min="5" style="0" width="31.03"/>
    <col collapsed="false" customWidth="true" hidden="false" outlineLevel="0" max="6" min="6" style="0" width="57.29"/>
    <col collapsed="false" customWidth="true" hidden="false" outlineLevel="0" max="8" min="7" style="0" width="45.35"/>
    <col collapsed="false" customWidth="true" hidden="false" outlineLevel="0" max="9" min="9" style="0" width="40.58"/>
    <col collapsed="false" customWidth="true" hidden="false" outlineLevel="0" max="10" min="10" style="0" width="50.13"/>
    <col collapsed="false" customWidth="true" hidden="false" outlineLevel="0" max="12" min="11" style="0" width="21.48"/>
  </cols>
  <sheetData>
    <row r="1" customFormat="false" ht="28" hidden="false" customHeight="true" outlineLevel="0" collapsed="false">
      <c r="A1" s="17" t="s">
        <v>1719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34" hidden="false" customHeight="true" outlineLevel="0" collapsed="false">
      <c r="A2" s="18" t="s">
        <v>1720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customFormat="false" ht="15" hidden="false" customHeight="false" outlineLevel="0" collapsed="false">
      <c r="A4" s="11" t="s">
        <v>1721</v>
      </c>
      <c r="B4" s="13" t="s">
        <v>1722</v>
      </c>
      <c r="C4" s="13" t="s">
        <v>1723</v>
      </c>
      <c r="D4" s="13" t="s">
        <v>1724</v>
      </c>
      <c r="E4" s="13" t="s">
        <v>1725</v>
      </c>
      <c r="F4" s="13" t="s">
        <v>1726</v>
      </c>
      <c r="G4" s="13" t="s">
        <v>1727</v>
      </c>
      <c r="H4" s="13" t="s">
        <v>1728</v>
      </c>
      <c r="I4" s="13" t="s">
        <v>1729</v>
      </c>
      <c r="J4" s="13" t="s">
        <v>1730</v>
      </c>
      <c r="K4" s="13" t="s">
        <v>67</v>
      </c>
      <c r="L4" s="12" t="s">
        <v>1731</v>
      </c>
    </row>
    <row r="5" customFormat="false" ht="44" hidden="false" customHeight="true" outlineLevel="0" collapsed="false">
      <c r="A5" s="7" t="s">
        <v>131</v>
      </c>
      <c r="B5" s="7" t="s">
        <v>1732</v>
      </c>
      <c r="C5" s="8" t="s">
        <v>1733</v>
      </c>
      <c r="D5" s="8" t="s">
        <v>1734</v>
      </c>
      <c r="E5" s="8" t="s">
        <v>1735</v>
      </c>
      <c r="F5" s="8" t="s">
        <v>1736</v>
      </c>
      <c r="G5" s="8" t="s">
        <v>1737</v>
      </c>
      <c r="H5" s="7" t="s">
        <v>1738</v>
      </c>
      <c r="I5" s="8" t="s">
        <v>1739</v>
      </c>
      <c r="J5" s="8" t="s">
        <v>1740</v>
      </c>
      <c r="K5" s="7" t="s">
        <v>72</v>
      </c>
      <c r="L5" s="8" t="s">
        <v>1741</v>
      </c>
    </row>
    <row r="6" customFormat="false" ht="44" hidden="false" customHeight="true" outlineLevel="0" collapsed="false">
      <c r="A6" s="9" t="s">
        <v>1742</v>
      </c>
      <c r="B6" s="9" t="s">
        <v>1743</v>
      </c>
      <c r="C6" s="10" t="s">
        <v>1744</v>
      </c>
      <c r="D6" s="10" t="s">
        <v>1745</v>
      </c>
      <c r="E6" s="9" t="s">
        <v>1746</v>
      </c>
      <c r="F6" s="9" t="s">
        <v>1747</v>
      </c>
      <c r="G6" s="10" t="s">
        <v>1748</v>
      </c>
      <c r="H6" s="9" t="s">
        <v>1749</v>
      </c>
      <c r="I6" s="10" t="s">
        <v>1750</v>
      </c>
      <c r="J6" s="10" t="s">
        <v>1751</v>
      </c>
      <c r="K6" s="9" t="s">
        <v>72</v>
      </c>
      <c r="L6" s="10" t="s">
        <v>1752</v>
      </c>
    </row>
    <row r="7" customFormat="false" ht="44" hidden="false" customHeight="true" outlineLevel="0" collapsed="false">
      <c r="A7" s="9" t="s">
        <v>1753</v>
      </c>
      <c r="B7" s="9" t="s">
        <v>1754</v>
      </c>
      <c r="C7" s="10" t="s">
        <v>1755</v>
      </c>
      <c r="D7" s="10" t="s">
        <v>1756</v>
      </c>
      <c r="E7" s="10" t="s">
        <v>1757</v>
      </c>
      <c r="F7" s="10" t="s">
        <v>1758</v>
      </c>
      <c r="G7" s="10" t="s">
        <v>1759</v>
      </c>
      <c r="H7" s="10" t="s">
        <v>1760</v>
      </c>
      <c r="I7" s="10" t="s">
        <v>1761</v>
      </c>
      <c r="J7" s="10" t="s">
        <v>1762</v>
      </c>
      <c r="K7" s="9" t="s">
        <v>148</v>
      </c>
      <c r="L7" s="10" t="s">
        <v>1763</v>
      </c>
    </row>
    <row r="8" customFormat="false" ht="44" hidden="false" customHeight="true" outlineLevel="0" collapsed="false">
      <c r="A8" s="9" t="s">
        <v>1764</v>
      </c>
      <c r="B8" s="9" t="s">
        <v>1765</v>
      </c>
      <c r="C8" s="10" t="s">
        <v>1766</v>
      </c>
      <c r="D8" s="9" t="s">
        <v>1767</v>
      </c>
      <c r="E8" s="10" t="s">
        <v>1768</v>
      </c>
      <c r="F8" s="9" t="s">
        <v>1769</v>
      </c>
      <c r="G8" s="10" t="s">
        <v>1770</v>
      </c>
      <c r="H8" s="9" t="s">
        <v>1771</v>
      </c>
      <c r="I8" s="10" t="s">
        <v>1772</v>
      </c>
      <c r="J8" s="10" t="s">
        <v>1773</v>
      </c>
      <c r="K8" s="9" t="s">
        <v>72</v>
      </c>
      <c r="L8" s="10" t="s">
        <v>1741</v>
      </c>
    </row>
    <row r="9" customFormat="false" ht="44" hidden="false" customHeight="true" outlineLevel="0" collapsed="false">
      <c r="A9" s="9" t="s">
        <v>1774</v>
      </c>
      <c r="B9" s="10" t="s">
        <v>1775</v>
      </c>
      <c r="C9" s="10" t="s">
        <v>1775</v>
      </c>
      <c r="D9" s="10" t="s">
        <v>1776</v>
      </c>
      <c r="E9" s="10" t="s">
        <v>1775</v>
      </c>
      <c r="F9" s="9" t="s">
        <v>1777</v>
      </c>
      <c r="G9" s="10" t="s">
        <v>1778</v>
      </c>
      <c r="H9" s="10" t="s">
        <v>1779</v>
      </c>
      <c r="I9" s="10" t="s">
        <v>1780</v>
      </c>
      <c r="J9" s="10" t="s">
        <v>1781</v>
      </c>
      <c r="K9" s="9" t="s">
        <v>72</v>
      </c>
      <c r="L9" s="10" t="s">
        <v>1782</v>
      </c>
    </row>
    <row r="10" customFormat="false" ht="44" hidden="false" customHeight="true" outlineLevel="0" collapsed="false">
      <c r="A10" s="9" t="s">
        <v>1783</v>
      </c>
      <c r="B10" s="9" t="s">
        <v>1784</v>
      </c>
      <c r="C10" s="9" t="s">
        <v>1785</v>
      </c>
      <c r="D10" s="10" t="s">
        <v>1786</v>
      </c>
      <c r="E10" s="10" t="s">
        <v>1775</v>
      </c>
      <c r="F10" s="9" t="s">
        <v>1787</v>
      </c>
      <c r="G10" s="10" t="s">
        <v>1788</v>
      </c>
      <c r="H10" s="9" t="s">
        <v>1789</v>
      </c>
      <c r="I10" s="10" t="s">
        <v>1790</v>
      </c>
      <c r="J10" s="10" t="s">
        <v>1791</v>
      </c>
      <c r="K10" s="9" t="s">
        <v>72</v>
      </c>
      <c r="L10" s="10" t="s">
        <v>1792</v>
      </c>
    </row>
    <row r="11" customFormat="false" ht="44" hidden="false" customHeight="true" outlineLevel="0" collapsed="false">
      <c r="A11" s="9" t="s">
        <v>1793</v>
      </c>
      <c r="B11" s="10" t="s">
        <v>1794</v>
      </c>
      <c r="C11" s="10" t="s">
        <v>1775</v>
      </c>
      <c r="D11" s="10" t="s">
        <v>1776</v>
      </c>
      <c r="E11" s="10" t="s">
        <v>1775</v>
      </c>
      <c r="F11" s="9" t="s">
        <v>1795</v>
      </c>
      <c r="G11" s="10" t="s">
        <v>1796</v>
      </c>
      <c r="H11" s="10" t="s">
        <v>1797</v>
      </c>
      <c r="I11" s="9" t="s">
        <v>1798</v>
      </c>
      <c r="J11" s="10" t="s">
        <v>1799</v>
      </c>
      <c r="K11" s="9" t="s">
        <v>72</v>
      </c>
      <c r="L11" s="10" t="s">
        <v>1782</v>
      </c>
    </row>
    <row r="12" customFormat="false" ht="44" hidden="false" customHeight="true" outlineLevel="0" collapsed="false">
      <c r="A12" s="9" t="s">
        <v>1800</v>
      </c>
      <c r="B12" s="9" t="s">
        <v>1801</v>
      </c>
      <c r="C12" s="9" t="s">
        <v>1802</v>
      </c>
      <c r="D12" s="10" t="s">
        <v>1786</v>
      </c>
      <c r="E12" s="10" t="s">
        <v>1775</v>
      </c>
      <c r="F12" s="9" t="s">
        <v>1803</v>
      </c>
      <c r="G12" s="10" t="s">
        <v>1804</v>
      </c>
      <c r="H12" s="9" t="s">
        <v>1805</v>
      </c>
      <c r="I12" s="9" t="s">
        <v>1806</v>
      </c>
      <c r="J12" s="10" t="s">
        <v>1807</v>
      </c>
      <c r="K12" s="9" t="s">
        <v>72</v>
      </c>
      <c r="L12" s="10" t="s">
        <v>1792</v>
      </c>
    </row>
    <row r="13" customFormat="false" ht="44" hidden="false" customHeight="true" outlineLevel="0" collapsed="false">
      <c r="A13" s="9" t="s">
        <v>1808</v>
      </c>
      <c r="B13" s="10" t="s">
        <v>1794</v>
      </c>
      <c r="C13" s="10" t="s">
        <v>1775</v>
      </c>
      <c r="D13" s="10" t="s">
        <v>1776</v>
      </c>
      <c r="E13" s="10" t="s">
        <v>1775</v>
      </c>
      <c r="F13" s="9" t="s">
        <v>1809</v>
      </c>
      <c r="G13" s="9" t="s">
        <v>1810</v>
      </c>
      <c r="H13" s="10" t="s">
        <v>1811</v>
      </c>
      <c r="I13" s="9" t="s">
        <v>1812</v>
      </c>
      <c r="J13" s="10" t="s">
        <v>1813</v>
      </c>
      <c r="K13" s="9" t="s">
        <v>72</v>
      </c>
      <c r="L13" s="10" t="s">
        <v>1782</v>
      </c>
    </row>
    <row r="14" customFormat="false" ht="44" hidden="false" customHeight="true" outlineLevel="0" collapsed="false">
      <c r="A14" s="9" t="s">
        <v>1814</v>
      </c>
      <c r="B14" s="9" t="s">
        <v>1815</v>
      </c>
      <c r="C14" s="9" t="s">
        <v>131</v>
      </c>
      <c r="D14" s="10" t="s">
        <v>1816</v>
      </c>
      <c r="E14" s="9" t="s">
        <v>1817</v>
      </c>
      <c r="F14" s="9" t="s">
        <v>1818</v>
      </c>
      <c r="G14" s="9" t="s">
        <v>1819</v>
      </c>
      <c r="H14" s="10" t="s">
        <v>1820</v>
      </c>
      <c r="I14" s="9" t="s">
        <v>1821</v>
      </c>
      <c r="J14" s="10" t="s">
        <v>1822</v>
      </c>
      <c r="K14" s="9" t="s">
        <v>72</v>
      </c>
      <c r="L14" s="10" t="s">
        <v>1823</v>
      </c>
    </row>
    <row r="15" customFormat="false" ht="44" hidden="false" customHeight="true" outlineLevel="0" collapsed="false">
      <c r="A15" s="9" t="s">
        <v>135</v>
      </c>
      <c r="B15" s="9" t="s">
        <v>136</v>
      </c>
      <c r="C15" s="10" t="s">
        <v>134</v>
      </c>
      <c r="D15" s="9" t="s">
        <v>1824</v>
      </c>
      <c r="E15" s="10" t="s">
        <v>1825</v>
      </c>
      <c r="F15" s="9" t="s">
        <v>1826</v>
      </c>
      <c r="G15" s="9" t="s">
        <v>1827</v>
      </c>
      <c r="H15" s="9" t="s">
        <v>1828</v>
      </c>
      <c r="I15" s="10" t="s">
        <v>1829</v>
      </c>
      <c r="J15" s="10" t="s">
        <v>1830</v>
      </c>
      <c r="K15" s="9" t="s">
        <v>72</v>
      </c>
      <c r="L15" s="10" t="s">
        <v>1741</v>
      </c>
    </row>
    <row r="16" customFormat="false" ht="44" hidden="false" customHeight="true" outlineLevel="0" collapsed="false">
      <c r="A16" s="9" t="s">
        <v>1831</v>
      </c>
      <c r="B16" s="10" t="s">
        <v>1775</v>
      </c>
      <c r="C16" s="10" t="s">
        <v>1775</v>
      </c>
      <c r="D16" s="10" t="s">
        <v>1776</v>
      </c>
      <c r="E16" s="10" t="s">
        <v>1775</v>
      </c>
      <c r="F16" s="9" t="s">
        <v>1832</v>
      </c>
      <c r="G16" s="10" t="s">
        <v>1833</v>
      </c>
      <c r="H16" s="10" t="s">
        <v>1834</v>
      </c>
      <c r="I16" s="9" t="s">
        <v>1835</v>
      </c>
      <c r="J16" s="10" t="s">
        <v>1836</v>
      </c>
      <c r="K16" s="9" t="s">
        <v>72</v>
      </c>
      <c r="L16" s="10" t="s">
        <v>1782</v>
      </c>
    </row>
    <row r="17" customFormat="false" ht="44" hidden="false" customHeight="true" outlineLevel="0" collapsed="false">
      <c r="A17" s="9" t="s">
        <v>1837</v>
      </c>
      <c r="B17" s="9" t="s">
        <v>1838</v>
      </c>
      <c r="C17" s="10" t="s">
        <v>1839</v>
      </c>
      <c r="D17" s="10" t="s">
        <v>1840</v>
      </c>
      <c r="E17" s="10" t="s">
        <v>1775</v>
      </c>
      <c r="F17" s="9" t="s">
        <v>1841</v>
      </c>
      <c r="G17" s="10" t="s">
        <v>1842</v>
      </c>
      <c r="H17" s="9" t="s">
        <v>1843</v>
      </c>
      <c r="I17" s="10" t="s">
        <v>1844</v>
      </c>
      <c r="J17" s="10" t="s">
        <v>1845</v>
      </c>
      <c r="K17" s="9" t="s">
        <v>72</v>
      </c>
      <c r="L17" s="10" t="s">
        <v>1846</v>
      </c>
    </row>
    <row r="18" customFormat="false" ht="44" hidden="false" customHeight="true" outlineLevel="0" collapsed="false">
      <c r="A18" s="9" t="s">
        <v>1847</v>
      </c>
      <c r="B18" s="10" t="s">
        <v>1848</v>
      </c>
      <c r="C18" s="10" t="s">
        <v>1775</v>
      </c>
      <c r="D18" s="10" t="s">
        <v>1776</v>
      </c>
      <c r="E18" s="10" t="s">
        <v>1775</v>
      </c>
      <c r="F18" s="9" t="s">
        <v>1849</v>
      </c>
      <c r="G18" s="10" t="s">
        <v>1850</v>
      </c>
      <c r="H18" s="10" t="s">
        <v>1851</v>
      </c>
      <c r="I18" s="9" t="s">
        <v>1852</v>
      </c>
      <c r="J18" s="10" t="s">
        <v>1853</v>
      </c>
      <c r="K18" s="9" t="s">
        <v>72</v>
      </c>
      <c r="L18" s="10" t="s">
        <v>1782</v>
      </c>
    </row>
    <row r="19" customFormat="false" ht="44" hidden="false" customHeight="true" outlineLevel="0" collapsed="false">
      <c r="A19" s="9" t="s">
        <v>1854</v>
      </c>
      <c r="B19" s="10" t="s">
        <v>1794</v>
      </c>
      <c r="C19" s="9" t="s">
        <v>1855</v>
      </c>
      <c r="D19" s="10" t="s">
        <v>1856</v>
      </c>
      <c r="E19" s="9" t="s">
        <v>1857</v>
      </c>
      <c r="F19" s="10" t="s">
        <v>1858</v>
      </c>
      <c r="G19" s="10" t="s">
        <v>1859</v>
      </c>
      <c r="H19" s="10" t="s">
        <v>1860</v>
      </c>
      <c r="I19" s="9" t="s">
        <v>1861</v>
      </c>
      <c r="J19" s="10" t="s">
        <v>1862</v>
      </c>
      <c r="K19" s="9" t="s">
        <v>72</v>
      </c>
      <c r="L19" s="10" t="s">
        <v>1863</v>
      </c>
    </row>
    <row r="20" customFormat="false" ht="44" hidden="false" customHeight="true" outlineLevel="0" collapsed="false">
      <c r="A20" s="9" t="s">
        <v>1864</v>
      </c>
      <c r="B20" s="9" t="s">
        <v>1865</v>
      </c>
      <c r="C20" s="10" t="s">
        <v>1866</v>
      </c>
      <c r="D20" s="10" t="s">
        <v>1867</v>
      </c>
      <c r="E20" s="10" t="s">
        <v>1825</v>
      </c>
      <c r="F20" s="10" t="s">
        <v>1868</v>
      </c>
      <c r="G20" s="10" t="s">
        <v>1869</v>
      </c>
      <c r="H20" s="9" t="s">
        <v>1870</v>
      </c>
      <c r="I20" s="10" t="s">
        <v>1871</v>
      </c>
      <c r="J20" s="10" t="s">
        <v>1872</v>
      </c>
      <c r="K20" s="9" t="s">
        <v>72</v>
      </c>
      <c r="L20" s="10" t="s">
        <v>1873</v>
      </c>
    </row>
    <row r="21" customFormat="false" ht="44" hidden="false" customHeight="true" outlineLevel="0" collapsed="false">
      <c r="A21" s="9" t="s">
        <v>1874</v>
      </c>
      <c r="B21" s="9" t="s">
        <v>1875</v>
      </c>
      <c r="C21" s="9" t="s">
        <v>1802</v>
      </c>
      <c r="D21" s="10" t="s">
        <v>1876</v>
      </c>
      <c r="E21" s="10" t="s">
        <v>1825</v>
      </c>
      <c r="F21" s="9" t="s">
        <v>1877</v>
      </c>
      <c r="G21" s="9" t="s">
        <v>1878</v>
      </c>
      <c r="H21" s="9" t="s">
        <v>1879</v>
      </c>
      <c r="I21" s="10" t="s">
        <v>1880</v>
      </c>
      <c r="J21" s="10" t="s">
        <v>1881</v>
      </c>
      <c r="K21" s="9" t="s">
        <v>72</v>
      </c>
      <c r="L21" s="10" t="s">
        <v>1792</v>
      </c>
    </row>
    <row r="22" customFormat="false" ht="44" hidden="false" customHeight="true" outlineLevel="0" collapsed="false">
      <c r="A22" s="9" t="s">
        <v>1882</v>
      </c>
      <c r="B22" s="9" t="s">
        <v>1883</v>
      </c>
      <c r="C22" s="9" t="s">
        <v>1884</v>
      </c>
      <c r="D22" s="10" t="s">
        <v>1885</v>
      </c>
      <c r="E22" s="10" t="s">
        <v>1886</v>
      </c>
      <c r="F22" s="9" t="s">
        <v>1887</v>
      </c>
      <c r="G22" s="10" t="s">
        <v>1888</v>
      </c>
      <c r="H22" s="9" t="s">
        <v>1889</v>
      </c>
      <c r="I22" s="9" t="s">
        <v>672</v>
      </c>
      <c r="J22" s="10" t="s">
        <v>1890</v>
      </c>
      <c r="K22" s="9" t="s">
        <v>148</v>
      </c>
      <c r="L22" s="10" t="s">
        <v>1823</v>
      </c>
    </row>
    <row r="23" customFormat="false" ht="44" hidden="false" customHeight="true" outlineLevel="0" collapsed="false">
      <c r="A23" s="9" t="s">
        <v>1891</v>
      </c>
      <c r="B23" s="10" t="s">
        <v>1775</v>
      </c>
      <c r="C23" s="10" t="s">
        <v>1775</v>
      </c>
      <c r="D23" s="10" t="s">
        <v>1776</v>
      </c>
      <c r="E23" s="10" t="s">
        <v>1775</v>
      </c>
      <c r="F23" s="9" t="s">
        <v>1892</v>
      </c>
      <c r="G23" s="9" t="s">
        <v>1893</v>
      </c>
      <c r="H23" s="9" t="s">
        <v>1894</v>
      </c>
      <c r="I23" s="10" t="s">
        <v>1780</v>
      </c>
      <c r="J23" s="10" t="s">
        <v>1895</v>
      </c>
      <c r="K23" s="9" t="s">
        <v>72</v>
      </c>
      <c r="L23" s="10" t="s">
        <v>1782</v>
      </c>
    </row>
  </sheetData>
  <mergeCells count="2">
    <mergeCell ref="A1:L1"/>
    <mergeCell ref="A2:L2"/>
  </mergeCells>
  <conditionalFormatting sqref="K5:K23">
    <cfRule type="containsText" priority="2" operator="containsText" aboveAverage="0" equalAverage="0" bottom="0" percent="0" rank="0" text="CONFLICTED" dxfId="79">
      <formula>NOT(ISERROR(SEARCH("CONFLICTED",K5)))</formula>
    </cfRule>
    <cfRule type="containsText" priority="3" operator="containsText" aboveAverage="0" equalAverage="0" bottom="0" percent="0" rank="0" text="CONFIRMED" dxfId="80">
      <formula>NOT(ISERROR(SEARCH("CONFIRMED",K5)))</formula>
    </cfRule>
  </conditionalFormatting>
  <dataValidations count="1">
    <dataValidation allowBlank="false" errorStyle="stop" operator="between" showDropDown="false" showErrorMessage="false" showInputMessage="false" sqref="K5:K23" type="list">
      <formula1>"CONFIRMED,INFERRED,UNVERIFIED,CONFLICTED"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cp:revision>0</cp:revision>
  <dc:subject/>
  <dc:title/>
</cp:coreProperties>
</file>