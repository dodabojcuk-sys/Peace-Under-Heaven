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53ede2680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7391969e41084ac8"/>
    <x:sheet xmlns:r="http://schemas.openxmlformats.org/officeDocument/2006/relationships" name="01_当前基线" sheetId="2" r:id="Re44e23596fc64c2d"/>
    <x:sheet xmlns:r="http://schemas.openxmlformats.org/officeDocument/2006/relationships" name="02_长期路线图" sheetId="3" r:id="R86d6408f8729478f"/>
    <x:sheet xmlns:r="http://schemas.openxmlformats.org/officeDocument/2006/relationships" name="03_任务总表" sheetId="4" r:id="Rc8a0da75e2784bd2"/>
    <x:sheet xmlns:r="http://schemas.openxmlformats.org/officeDocument/2006/relationships" name="04_依赖与阶段门" sheetId="5" r:id="R116606fb9eab4494"/>
    <x:sheet xmlns:r="http://schemas.openxmlformats.org/officeDocument/2006/relationships" name="05_验收矩阵" sheetId="6" r:id="Rbb372a5acb484e04"/>
    <x:sheet xmlns:r="http://schemas.openxmlformats.org/officeDocument/2006/relationships" name="06_测试矩阵" sheetId="7" r:id="R4e8c644407bf4b6a"/>
    <x:sheet xmlns:r="http://schemas.openxmlformats.org/officeDocument/2006/relationships" name="07_阶段执行记录" sheetId="8" r:id="R601cb2873e984cc4"/>
    <x:sheet xmlns:r="http://schemas.openxmlformats.org/officeDocument/2006/relationships" name="08_独立复查记录" sheetId="9" r:id="Ra36cc5f6bd1f4e50"/>
    <x:sheet xmlns:r="http://schemas.openxmlformats.org/officeDocument/2006/relationships" name="09_风险与决策" sheetId="10" r:id="R259fd6bcb8b64c1d"/>
    <x:sheet xmlns:r="http://schemas.openxmlformats.org/officeDocument/2006/relationships" name="10_变更日志" sheetId="11" r:id="R4e166e3433374e2b"/>
    <x:sheet xmlns:r="http://schemas.openxmlformats.org/officeDocument/2006/relationships" name="11_禁止范围与保护" sheetId="12" r:id="R1f4dcedc2f684d39"/>
    <x:sheet xmlns:r="http://schemas.openxmlformats.org/officeDocument/2006/relationships" name="12_数据对象与所有权" sheetId="13" r:id="R306db9c888004595"/>
  </x:sheets>
</x:workbook>
</file>

<file path=xl/sharedStrings.xml><?xml version="1.0" encoding="utf-8"?>
<x:sst xmlns:x="http://schemas.openxmlformats.org/spreadsheetml/2006/main">
  <x:si>
    <x:r>
      <x:rPr>
        <x:b/>
        <x:sz val="1600"/>
        <x:color rgb="FFFFFFFF"/>
        <x:rFont val="Hiragino Sans GB"/>
      </x:rPr>
      <x:t xml:space="preserve">TXWZS </x:t>
    </x:r>
    <x:r>
      <x:rPr>
        <x:b/>
        <x:sz val="1600"/>
        <x:color rgb="FFFFFFFF"/>
        <x:rFont val="Linux Libertine G"/>
        <x:family val="2"/>
      </x:rPr>
      <x:t xml:space="preserve">长期开发控制系统</x:t>
    </x:r>
  </x:si>
  <x:si>
    <x:r>
      <x:rPr>
        <x:i/>
        <x:sz val="1000"/>
        <x:color rgb="FF34495E"/>
        <x:rFont val="Hiragino Sans GB"/>
      </x:rPr>
      <x:t xml:space="preserve">Excel </x:t>
    </x:r>
    <x:r>
      <x:rPr>
        <x:i/>
        <x:sz val="1000"/>
        <x:color rgb="FF34495E"/>
        <x:rFont val="Linux Libertine G"/>
        <x:family val="2"/>
      </x:rPr>
      <x:t xml:space="preserve">是人类操作界面；</x:t>
    </x:r>
    <x:r>
      <x:rPr>
        <x:i/>
        <x:sz val="1000"/>
        <x:color rgb="FF34495E"/>
        <x:rFont val="Hiragino Sans GB"/>
      </x:rPr>
      <x:t xml:space="preserve">Git</x:t>
    </x:r>
    <x:r>
      <x:rPr>
        <x:i/>
        <x:sz val="1000"/>
        <x:color rgb="FF34495E"/>
        <x:rFont val="Linux Libertine G"/>
        <x:family val="2"/>
      </x:rPr>
      <x:t xml:space="preserve">、代码、测试和实际运行才是事实来源。</x:t>
    </x:r>
  </x:si>
  <x:si>
    <x:t xml:space="preserve">字段</x:t>
  </x:si>
  <x:si>
    <x:t xml:space="preserve">内容</x:t>
  </x:si>
  <x:si>
    <x:t xml:space="preserve">任务状态定义</x:t>
  </x:si>
  <x:si>
    <x:t xml:space="preserve">计划版本</x:t>
  </x:si>
  <x:si>
    <x:t xml:space="preserve">NOT_STARTED</x:t>
  </x:si>
  <x:si>
    <x:t xml:space="preserve">不计入完成</x:t>
  </x:si>
  <x:si>
    <x:t xml:space="preserve">正常</x:t>
  </x:si>
  <x:si>
    <x:t xml:space="preserve">最后更新</x:t>
  </x:si>
  <x:si>
    <x:t xml:space="preserve">READY</x:t>
  </x:si>
  <x:si>
    <x:r>
      <x:rPr>
        <x:sz val="900"/>
        <x:color rgb="FF24323D"/>
        <x:rFont val="Linux Libertine G"/>
        <x:family val="2"/>
      </x:rPr>
      <x:t xml:space="preserve">可由主 </x:t>
    </x:r>
    <x:r>
      <x:rPr>
        <x:sz val="900"/>
        <x:color rgb="FF24323D"/>
        <x:rFont val="Hiragino Sans GB"/>
      </x:rPr>
      <x:t xml:space="preserve">Agent </x:t>
    </x:r>
    <x:r>
      <x:rPr>
        <x:sz val="900"/>
        <x:color rgb="FF24323D"/>
        <x:rFont val="Linux Libertine G"/>
        <x:family val="2"/>
      </x:rPr>
      <x:t xml:space="preserve">启动</x:t>
    </x:r>
  </x:si>
  <x:si>
    <x:t xml:space="preserve">当前阶段</x:t>
  </x:si>
  <x:si>
    <x:t xml:space="preserve">IN_PROGRESS</x:t>
  </x:si>
  <x:si>
    <x:t xml:space="preserve">当前唯一推荐下一任务</x:t>
  </x:si>
  <x:si>
    <x:t xml:space="preserve">BLOCKED</x:t>
  </x:si>
  <x:si>
    <x:t xml:space="preserve">阻断</x:t>
  </x:si>
  <x:si>
    <x:t xml:space="preserve">状态闭环</x:t>
  </x:si>
  <x:si>
    <x:r>
      <x:rPr>
        <x:sz val="900"/>
        <x:color rgb="FF24323D"/>
        <x:rFont val="Hiragino Sans GB"/>
      </x:rPr>
      <x:t xml:space="preserve">READY → IN_PROGRESS → IMPLEMENTED_PENDING_REVIEW → </x:t>
    </x:r>
    <x:r>
      <x:rPr>
        <x:sz val="900"/>
        <x:color rgb="FF24323D"/>
        <x:rFont val="Linux Libertine G"/>
        <x:family val="2"/>
      </x:rPr>
      <x:t xml:space="preserve">独立复查 → </x:t>
    </x:r>
    <x:r>
      <x:rPr>
        <x:sz val="900"/>
        <x:color rgb="FF24323D"/>
        <x:rFont val="Hiragino Sans GB"/>
      </x:rPr>
      <x:t xml:space="preserve">VERIFIED</x:t>
    </x:r>
  </x:si>
  <x:si>
    <x:t xml:space="preserve">IMPLEMENTED_PENDING_REVIEW</x:t>
  </x:si>
  <x:si>
    <x:r>
      <x:rPr>
        <x:sz val="900"/>
        <x:color rgb="FF24323D"/>
        <x:rFont val="Linux Libertine G"/>
        <x:family val="2"/>
      </x:rPr>
      <x:t xml:space="preserve">实现者不得自行改为 </x:t>
    </x:r>
    <x:r>
      <x:rPr>
        <x:sz val="900"/>
        <x:color rgb="FF24323D"/>
        <x:rFont val="Hiragino Sans GB"/>
      </x:rPr>
      <x:t xml:space="preserve">VERIFIED</x:t>
    </x:r>
  </x:si>
  <x:si>
    <x:t xml:space="preserve">失败闭环</x:t>
  </x:si>
  <x:si>
    <x:r>
      <x:rPr>
        <x:sz val="900"/>
        <x:color rgb="FF24323D"/>
        <x:rFont val="Hiragino Sans GB"/>
      </x:rPr>
      <x:t xml:space="preserve">IMPLEMENTED_PENDING_REVIEW → REVIEW_FAILED → </x:t>
    </x:r>
    <x:r>
      <x:rPr>
        <x:sz val="900"/>
        <x:color rgb="FF24323D"/>
        <x:rFont val="Linux Libertine G"/>
        <x:family val="2"/>
      </x:rPr>
      <x:t xml:space="preserve">修复 → 再复查 → </x:t>
    </x:r>
    <x:r>
      <x:rPr>
        <x:sz val="900"/>
        <x:color rgb="FF24323D"/>
        <x:rFont val="Hiragino Sans GB"/>
      </x:rPr>
      <x:t xml:space="preserve">VERIFIED</x:t>
    </x:r>
  </x:si>
  <x:si>
    <x:t xml:space="preserve">REVIEW_FAILED</x:t>
  </x:si>
  <x:si>
    <x:t xml:space="preserve">完成口径</x:t>
  </x:si>
  <x:si>
    <x:r>
      <x:rPr>
        <x:sz val="900"/>
        <x:color rgb="FF24323D"/>
        <x:rFont val="Linux Libertine G"/>
        <x:family val="2"/>
      </x:rPr>
      <x:t xml:space="preserve">只有 </x:t>
    </x:r>
    <x:r>
      <x:rPr>
        <x:sz val="900"/>
        <x:color rgb="FF24323D"/>
        <x:rFont val="Hiragino Sans GB"/>
      </x:rPr>
      <x:t xml:space="preserve">VERIFIED </x:t>
    </x:r>
    <x:r>
      <x:rPr>
        <x:sz val="900"/>
        <x:color rgb="FF24323D"/>
        <x:rFont val="Linux Libertine G"/>
        <x:family val="2"/>
      </x:rPr>
      <x:t xml:space="preserve">计入阶段完成；</x:t>
    </x:r>
    <x:r>
      <x:rPr>
        <x:sz val="900"/>
        <x:color rgb="FF24323D"/>
        <x:rFont val="Hiragino Sans GB"/>
      </x:rPr>
      <x:t xml:space="preserve">CANCELLED </x:t>
    </x:r>
    <x:r>
      <x:rPr>
        <x:sz val="900"/>
        <x:color rgb="FF24323D"/>
        <x:rFont val="Linux Libertine G"/>
        <x:family val="2"/>
      </x:rPr>
      <x:t xml:space="preserve">必须关联决策记录并从分母排除。</x:t>
    </x:r>
  </x:si>
  <x:si>
    <x:t xml:space="preserve">VERIFIED</x:t>
  </x:si>
  <x:si>
    <x:t xml:space="preserve">计入完成</x:t>
  </x:si>
  <x:si>
    <x:t xml:space="preserve">更新权限</x:t>
  </x:si>
  <x:si>
    <x:r>
      <x:rPr>
        <x:sz val="900"/>
        <x:color rgb="FF24323D"/>
        <x:rFont val="Hiragino Sans GB"/>
      </x:rPr>
      <x:t xml:space="preserve">Main Codex </x:t>
    </x:r>
    <x:r>
      <x:rPr>
        <x:sz val="900"/>
        <x:color rgb="FF24323D"/>
        <x:rFont val="Linux Libertine G"/>
        <x:family val="2"/>
      </x:rPr>
      <x:t xml:space="preserve">更新实施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证据；</x:t>
    </x:r>
    <x:r>
      <x:rPr>
        <x:sz val="900"/>
        <x:color rgb="FF24323D"/>
        <x:rFont val="Hiragino Sans GB"/>
      </x:rPr>
      <x:t xml:space="preserve">Independent Codex </x:t>
    </x:r>
    <x:r>
      <x:rPr>
        <x:sz val="900"/>
        <x:color rgb="FF24323D"/>
        <x:rFont val="Linux Libertine G"/>
        <x:family val="2"/>
      </x:rPr>
      <x:t xml:space="preserve">只读复查；用户通过产品与架构门。</x:t>
    </x:r>
  </x:si>
  <x:si>
    <x:t xml:space="preserve">DEFERRED</x:t>
  </x:si>
  <x:si>
    <x:t xml:space="preserve">证据顺序</x:t>
  </x:si>
  <x:si>
    <x:r>
      <x:rPr>
        <x:sz val="900"/>
        <x:color rgb="FF24323D"/>
        <x:rFont val="Hiragino Sans GB"/>
      </x:rPr>
      <x:t xml:space="preserve">Git/</x:t>
    </x:r>
    <x:r>
      <x:rPr>
        <x:sz val="900"/>
        <x:color rgb="FF24323D"/>
        <x:rFont val="Linux Libertine G"/>
        <x:family val="2"/>
      </x:rPr>
      <x:t xml:space="preserve">代码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配置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测试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当前运行 </x:t>
    </x:r>
    <x:r>
      <x:rPr>
        <x:sz val="900"/>
        <x:color rgb="FF24323D"/>
        <x:rFont val="Hiragino Sans GB"/>
      </x:rPr>
      <x:t xml:space="preserve">&gt; CURRENT_STATE &gt; </x:t>
    </x:r>
    <x:r>
      <x:rPr>
        <x:sz val="900"/>
        <x:color rgb="FF24323D"/>
        <x:rFont val="Linux Libertine G"/>
        <x:family val="2"/>
      </x:rPr>
      <x:t xml:space="preserve">历史报告 </x:t>
    </x:r>
    <x:r>
      <x:rPr>
        <x:sz val="900"/>
        <x:color rgb="FF24323D"/>
        <x:rFont val="Hiragino Sans GB"/>
      </x:rPr>
      <x:t xml:space="preserve">&gt; </x:t>
    </x:r>
    <x:r>
      <x:rPr>
        <x:sz val="900"/>
        <x:color rgb="FF24323D"/>
        <x:rFont val="Linux Libertine G"/>
        <x:family val="2"/>
      </x:rPr>
      <x:t xml:space="preserve">规划推断</x:t>
    </x:r>
  </x:si>
  <x:si>
    <x:t xml:space="preserve">CANCELLED</x:t>
  </x:si>
  <x:si>
    <x:t xml:space="preserve">需决策记录；不计分母</x:t>
  </x:si>
  <x:si>
    <x:t xml:space="preserve">同步规则</x:t>
  </x:si>
  <x:si>
    <x:r>
      <x:rPr>
        <x:sz val="900"/>
        <x:color rgb="FF24323D"/>
        <x:rFont val="Hiragino Sans GB"/>
      </x:rPr>
      <x:t xml:space="preserve">XLSX </x:t>
    </x:r>
    <x:r>
      <x:rPr>
        <x:sz val="900"/>
        <x:color rgb="FF24323D"/>
        <x:rFont val="Linux Libertine G"/>
        <x:family val="2"/>
      </x:rPr>
      <x:t xml:space="preserve">为当前主来源；同一修订从同一数据模型导出 </x:t>
    </x:r>
    <x:r>
      <x:rPr>
        <x:sz val="900"/>
        <x:color rgb="FF24323D"/>
        <x:rFont val="Hiragino Sans GB"/>
      </x:rPr>
      <x:t xml:space="preserve">Markdown </x:t>
    </x:r>
    <x:r>
      <x:rPr>
        <x:sz val="900"/>
        <x:color rgb="FF24323D"/>
        <x:rFont val="Linux Libertine G"/>
        <x:family val="2"/>
      </x:rPr>
      <x:t xml:space="preserve">与五份 </x:t>
    </x:r>
    <x:r>
      <x:rPr>
        <x:sz val="900"/>
        <x:color rgb="FF24323D"/>
        <x:rFont val="Hiragino Sans GB"/>
      </x:rPr>
      <x:t xml:space="preserve">CSV</x:t>
    </x:r>
    <x:r>
      <x:rPr>
        <x:sz val="900"/>
        <x:color rgb="FF24323D"/>
        <x:rFont val="Linux Libertine G"/>
        <x:family val="2"/>
      </x:rPr>
      <x:t xml:space="preserve">，公式值经 </x:t>
    </x:r>
    <x:r>
      <x:rPr>
        <x:sz val="900"/>
        <x:color rgb="FF24323D"/>
        <x:rFont val="Hiragino Sans GB"/>
      </x:rPr>
      <x:t xml:space="preserve">LibreOffice </x:t>
    </x:r>
    <x:r>
      <x:rPr>
        <x:sz val="900"/>
        <x:color rgb="FF24323D"/>
        <x:rFont val="Linux Libertine G"/>
        <x:family val="2"/>
      </x:rPr>
      <x:t xml:space="preserve">重算后再发布镜像。</x:t>
    </x:r>
  </x:si>
  <x:si>
    <x:t xml:space="preserve">UNVERIFIED</x:t>
  </x:si>
  <x:si>
    <x:t xml:space="preserve">独立复查绑定</x:t>
  </x:si>
  <x:si>
    <x:r>
      <x:rPr>
        <x:sz val="900"/>
        <x:color rgb="FF24323D"/>
        <x:rFont val="Linux Libertine G"/>
        <x:family val="2"/>
      </x:rPr>
      <x:t xml:space="preserve">记录 </x:t>
    </x:r>
    <x:r>
      <x:rPr>
        <x:sz val="900"/>
        <x:color rgb="FF24323D"/>
        <x:rFont val="Hiragino Sans GB"/>
      </x:rPr>
      <x:t xml:space="preserve">reviewer task identity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reviewed commit/patch/hash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finding </x:t>
    </x:r>
    <x:r>
      <x:rPr>
        <x:sz val="900"/>
        <x:color rgb="FF24323D"/>
        <x:rFont val="Linux Libertine G"/>
        <x:family val="2"/>
      </x:rPr>
      <x:t xml:space="preserve">处置和 </x:t>
    </x:r>
    <x:r>
      <x:rPr>
        <x:sz val="900"/>
        <x:color rgb="FF24323D"/>
        <x:rFont val="Hiragino Sans GB"/>
      </x:rPr>
      <x:t xml:space="preserve">re-review</x:t>
    </x:r>
    <x:r>
      <x:rPr>
        <x:sz val="900"/>
        <x:color rgb="FF24323D"/>
        <x:rFont val="Linux Libertine G"/>
        <x:family val="2"/>
      </x:rPr>
      <x:t xml:space="preserve">；实现者不得自审通过。</x:t>
    </x:r>
  </x:si>
  <x:si>
    <x:t xml:space="preserve">实时规划指标（来自任务总表／验收矩阵）</x:t>
  </x:si>
  <x:si>
    <x:t xml:space="preserve">指标</x:t>
  </x:si>
  <x:si>
    <x:t xml:space="preserve">值</x:t>
  </x:si>
  <x:si>
    <x:t xml:space="preserve">阶段</x:t>
  </x:si>
  <x:si>
    <x:t xml:space="preserve">任务数</x:t>
  </x:si>
  <x:si>
    <x:t xml:space="preserve">进度</x:t>
  </x:si>
  <x:si>
    <x:r>
      <x:rPr>
        <x:sz val="900"/>
        <x:color rgb="FF24323D"/>
        <x:rFont val="Hiragino Sans GB"/>
      </x:rPr>
      <x:t xml:space="preserve">READY </x:t>
    </x:r>
    <x:r>
      <x:rPr>
        <x:sz val="900"/>
        <x:color rgb="FF24323D"/>
        <x:rFont val="Linux Libertine G"/>
        <x:family val="2"/>
      </x:rPr>
      <x:t xml:space="preserve">任务</x:t>
    </x:r>
  </x:si>
  <x:si>
    <x:t xml:space="preserve">V4</x:t>
  </x:si>
  <x:si>
    <x:t xml:space="preserve">阻断任务</x:t>
  </x:si>
  <x:si>
    <x:t xml:space="preserve">V5</x:t>
  </x:si>
  <x:si>
    <x:t xml:space="preserve">待独立复查任务</x:t>
  </x:si>
  <x:si>
    <x:t xml:space="preserve">V6</x:t>
  </x:si>
  <x:si>
    <x:t xml:space="preserve">未覆盖关键需求</x:t>
  </x:si>
  <x:si>
    <x:t xml:space="preserve">V7</x:t>
  </x:si>
  <x:si>
    <x:t xml:space="preserve">V8</x:t>
  </x:si>
  <x:si>
    <x:t xml:space="preserve">V9</x:t>
  </x:si>
  <x:si>
    <x:t xml:space="preserve">V10</x:t>
  </x:si>
  <x:si>
    <x:t xml:space="preserve">V11</x:t>
  </x:si>
  <x:si>
    <x:t xml:space="preserve">V12</x:t>
  </x:si>
  <x:si>
    <x:t xml:space="preserve">当前真实基线</x:t>
  </x:si>
  <x:si>
    <x:r>
      <x:rPr>
        <x:i/>
        <x:sz val="1000"/>
        <x:color rgb="FF34495E"/>
        <x:rFont val="Linux Libertine G"/>
        <x:family val="2"/>
      </x:rPr>
      <x:t xml:space="preserve">事实标记：</x:t>
    </x:r>
    <x:r>
      <x:rPr>
        <x:i/>
        <x:sz val="1000"/>
        <x:color rgb="FF34495E"/>
        <x:rFont val="Hiragino Sans GB"/>
      </x:rPr>
      <x:t xml:space="preserve">CONFIRMED / INFERRED / UNVERIFIED / CONFLICTED</x:t>
    </x:r>
    <x:r>
      <x:rPr>
        <x:i/>
        <x:sz val="1000"/>
        <x:color rgb="FF34495E"/>
        <x:rFont val="Linux Libertine G"/>
        <x:family val="2"/>
      </x:rPr>
      <x:t xml:space="preserve">。任何计划结论必须能追溯到证据。</x:t>
    </x:r>
  </x:si>
  <x:si>
    <x:t xml:space="preserve">项目</x:t>
  </x:si>
  <x:si>
    <x:t xml:space="preserve">当前值</x:t>
  </x:si>
  <x:si>
    <x:t xml:space="preserve">事实标记</x:t>
  </x:si>
  <x:si>
    <x:t xml:space="preserve">证据</x:t>
  </x:si>
  <x:si>
    <x:t xml:space="preserve">差异／说明</x:t>
  </x:si>
  <x:si>
    <x:t xml:space="preserve">仓库路径</x:t>
  </x:si>
  <x:si>
    <x:t xml:space="preserve">CONFIRMED</x:t>
  </x:si>
  <x:si>
    <x:t xml:space="preserve">分支</x:t>
  </x:si>
  <x:si>
    <x:t xml:space="preserve">git branch --show-current</x:t>
  </x:si>
  <x:si>
    <x:t xml:space="preserve">upstream</x:t>
  </x:si>
  <x:si>
    <x:t xml:space="preserve">git rev-parse @{upstream} (expected to fail)</x:t>
  </x:si>
  <x:si>
    <x:r>
      <x:rPr>
        <x:sz val="900"/>
        <x:color rgb="FF24323D"/>
        <x:rFont val="Linux Libertine G"/>
        <x:family val="2"/>
      </x:rPr>
      <x:t xml:space="preserve">未配置 </x:t>
    </x:r>
    <x:r>
      <x:rPr>
        <x:sz val="900"/>
        <x:color rgb="FF24323D"/>
        <x:rFont val="Hiragino Sans GB"/>
      </x:rPr>
      <x:t xml:space="preserve">upstream</x:t>
    </x:r>
    <x:r>
      <x:rPr>
        <x:sz val="900"/>
        <x:color rgb="FF24323D"/>
        <x:rFont val="Linux Libertine G"/>
        <x:family val="2"/>
      </x:rPr>
      <x:t xml:space="preserve">；本轮不 </x:t>
    </x:r>
    <x:r>
      <x:rPr>
        <x:sz val="900"/>
        <x:color rgb="FF24323D"/>
        <x:rFont val="Hiragino Sans GB"/>
      </x:rPr>
      <x:t xml:space="preserve">push</x:t>
    </x:r>
  </x:si>
  <x:si>
    <x:t xml:space="preserve">ahead / behind</x:t>
  </x:si>
  <x:si>
    <x:t xml:space="preserve">git status -sb</x:t>
  </x:si>
  <x:si>
    <x:t xml:space="preserve">parent main snapshot was ahead 29 / behind 0</x:t>
  </x:si>
  <x:si>
    <x:t xml:space="preserve">工作树</x:t>
  </x:si>
  <x:si>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保护范围</x:t>
    </x:r>
  </x:si>
  <x:si>
    <x:r>
      <x:rPr>
        <x:sz val="900"/>
        <x:color rgb="FF24323D"/>
        <x:rFont val="Hiragino Sans GB"/>
      </x:rPr>
      <x:t xml:space="preserve">8 </x:t>
    </x:r>
    <x:r>
      <x:rPr>
        <x:sz val="900"/>
        <x:color rgb="FF24323D"/>
        <x:rFont val="Linux Libertine G"/>
        <x:family val="2"/>
      </x:rPr>
      <x:t xml:space="preserve">个 </x:t>
    </x:r>
    <x:r>
      <x:rPr>
        <x:sz val="900"/>
        <x:color rgb="FF24323D"/>
        <x:rFont val="Hiragino Sans GB"/>
      </x:rPr>
      <x:t xml:space="preserve">untracked </x:t>
    </x:r>
    <x:r>
      <x:rPr>
        <x:sz val="900"/>
        <x:color rgb="FF24323D"/>
        <x:rFont val="Linux Libertine G"/>
        <x:family val="2"/>
      </x:rPr>
      <x:t xml:space="preserve">文件</x:t>
    </x:r>
  </x:si>
  <x:si>
    <x:t xml:space="preserve">git status + SHA-256</x:t>
  </x:si>
  <x:si>
    <x:t xml:space="preserve">主场景</x:t>
  </x:si>
  <x:si>
    <x:t xml:space="preserve">res://scenes/blank_map.tscn</x:t>
  </x:si>
  <x:si>
    <x:t xml:space="preserve">project.godot</x:t>
  </x:si>
  <x:si>
    <x:t xml:space="preserve">当前活动战区</x:t>
  </x:si>
  <x:si>
    <x:t xml:space="preserve">res://scenes/blackstone_expedition_mvp.tscn</x:t>
  </x:si>
  <x:si>
    <x:t xml:space="preserve">scene + city entry code</x:t>
  </x:si>
  <x:si>
    <x:r>
      <x:rPr>
        <x:sz val="900"/>
        <x:color rgb="FF24323D"/>
        <x:rFont val="Linux Libertine G"/>
        <x:family val="2"/>
      </x:rPr>
      <x:t xml:space="preserve">从军令台进入；当前以 </x:t>
    </x:r>
    <x:r>
      <x:rPr>
        <x:sz val="900"/>
        <x:color rgb="FF24323D"/>
        <x:rFont val="Hiragino Sans GB"/>
      </x:rPr>
      <x:t xml:space="preserve">dirty V4 </x:t>
    </x:r>
    <x:r>
      <x:rPr>
        <x:sz val="900"/>
        <x:color rgb="FF24323D"/>
        <x:rFont val="Linux Libertine G"/>
        <x:family val="2"/>
      </x:rPr>
      <x:t xml:space="preserve">运行</x:t>
    </x:r>
  </x:si>
  <x:si>
    <x:t xml:space="preserve">当前运行身份</x:t>
  </x:si>
  <x:si>
    <x:t xml:space="preserve">Godot</x:t>
  </x:si>
  <x:si>
    <x:t xml:space="preserve">4.5.1.stable.official.f62fdbde1</x:t>
  </x:si>
  <x:si>
    <x:t xml:space="preserve">Godot --version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</x:si>
  <x:si>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状态机</x:t>
    </x:r>
  </x:si>
  <x:si>
    <x:t xml:space="preserve">IDLE → SOURCE_ARMED → ROUTE_SELECTING → ORDER_PENDING → MARCHING → ARRIVAL_RESOLVING → IDLE</x:t>
  </x:si>
  <x:si>
    <x:t xml:space="preserve">scripts/mvp/blackstone_expedition_mvp.gd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</x:si>
  <x:si>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兵种 </x:t>
    </x:r>
    <x:r>
      <x:rPr>
        <x:sz val="900"/>
        <x:color rgb="FF24323D"/>
        <x:rFont val="Hiragino Sans GB"/>
      </x:rPr>
      <x:t xml:space="preserve">UI</x:t>
    </x:r>
  </x:si>
  <x:si>
    <x:t xml:space="preserve">仅步兵／驻军</x:t>
  </x:si>
  <x:si>
    <x:t xml:space="preserve">scene + get_dispatch_options()</x:t>
  </x:si>
  <x:si>
    <x:t xml:space="preserve">没有空兵种选项</x:t>
  </x:si>
  <x:si>
    <x:r>
      <x:rPr>
        <x:sz val="900"/>
        <x:color rgb="FF24323D"/>
        <x:rFont val="Hiragino Sans GB"/>
      </x:rPr>
      <x:t xml:space="preserve">V3 </x:t>
    </x:r>
    <x:r>
      <x:rPr>
        <x:sz val="900"/>
        <x:color rgb="FF24323D"/>
        <x:rFont val="Linux Libertine G"/>
        <x:family val="2"/>
      </x:rPr>
      <x:t xml:space="preserve">圆盘</x:t>
    </x:r>
  </x:si>
  <x:si>
    <x:r>
      <x:rPr>
        <x:sz val="900"/>
        <x:color rgb="FF24323D"/>
        <x:rFont val="Linux Libertine G"/>
        <x:family val="2"/>
      </x:rPr>
      <x:t xml:space="preserve">运行节点已移除，仅 </x:t>
    </x:r>
    <x:r>
      <x:rPr>
        <x:sz val="900"/>
        <x:color rgb="FF24323D"/>
        <x:rFont val="Hiragino Sans GB"/>
      </x:rPr>
      <x:t xml:space="preserve">smoke </x:t>
    </x:r>
    <x:r>
      <x:rPr>
        <x:sz val="900"/>
        <x:color rgb="FF24323D"/>
        <x:rFont val="Linux Libertine G"/>
        <x:family val="2"/>
      </x:rPr>
      <x:t xml:space="preserve">保留反向断言</x:t>
    </x:r>
  </x:si>
  <x:si>
    <x:t xml:space="preserve">rg radial / scene diff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</x:si>
  <x:si>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行军模型</x:t>
    </x:r>
  </x:si>
  <x:si>
    <x:r>
      <x:rPr>
        <x:sz val="900"/>
        <x:color rgb="FF24323D"/>
        <x:rFont val="Hiragino Sans GB"/>
      </x:rPr>
      <x:t xml:space="preserve">_marching_armies </x:t>
    </x:r>
    <x:r>
      <x:rPr>
        <x:sz val="900"/>
        <x:color rgb="FF24323D"/>
        <x:rFont val="Linux Libertine G"/>
        <x:family val="2"/>
      </x:rPr>
      <x:t xml:space="preserve">为数组，但运行逻辑只处理 </x:t>
    </x:r>
    <x:r>
      <x:rPr>
        <x:sz val="900"/>
        <x:color rgb="FF24323D"/>
        <x:rFont val="Hiragino Sans GB"/>
      </x:rPr>
      <x:t xml:space="preserve">index 0 </x:t>
    </x:r>
    <x:r>
      <x:rPr>
        <x:sz val="900"/>
        <x:color rgb="FF24323D"/>
        <x:rFont val="Linux Libertine G"/>
        <x:family val="2"/>
      </x:rPr>
      <x:t xml:space="preserve">并禁止并发命令</x:t>
    </x:r>
  </x:si>
  <x:si>
    <x:t xml:space="preserve">blackstone_expedition_mvp.gd:100,202,474</x:t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</x:si>
  <x:si>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必须解除持久模型的单例假设</x:t>
    </x:r>
  </x:si>
  <x:si>
    <x:t xml:space="preserve">城市权威</x:t>
  </x:si>
  <x:si>
    <x:t xml:space="preserve">CURRENT_STATE + code</x:t>
  </x:si>
  <x:si>
    <x:t xml:space="preserve">单局战斗权威</x:t>
  </x:si>
  <x:si>
    <x:t xml:space="preserve">BattleSession</x:t>
  </x:si>
  <x:si>
    <x:t xml:space="preserve">scripts/combat/battle_session.gd</x:t>
  </x:si>
  <x:si>
    <x:r>
      <x:rPr>
        <x:sz val="900"/>
        <x:color rgb="FF24323D"/>
        <x:rFont val="Linux Libertine G"/>
        <x:family val="2"/>
      </x:rPr>
      <x:t xml:space="preserve">固定 </x:t>
    </x:r>
    <x:r>
      <x:rPr>
        <x:sz val="900"/>
        <x:color rgb="FF24323D"/>
        <x:rFont val="Hiragino Sans GB"/>
      </x:rPr>
      <x:t xml:space="preserve">tick</x:t>
    </x:r>
    <x:r>
      <x:rPr>
        <x:sz val="900"/>
        <x:color rgb="FF24323D"/>
        <x:rFont val="Linux Libertine G"/>
        <x:family val="2"/>
      </x:rPr>
      <x:t xml:space="preserve">，</x:t>
    </x:r>
    <x:r>
      <x:rPr>
        <x:sz val="900"/>
        <x:color rgb="FF24323D"/>
        <x:rFont val="Hiragino Sans GB"/>
      </x:rPr>
      <x:t xml:space="preserve">RefCounted </x:t>
    </x:r>
    <x:r>
      <x:rPr>
        <x:sz val="900"/>
        <x:color rgb="FF24323D"/>
        <x:rFont val="Linux Libertine G"/>
        <x:family val="2"/>
      </x:rPr>
      <x:t xml:space="preserve">临时状态</x:t>
    </x:r>
  </x:si>
  <x:si>
    <x:t xml:space="preserve">战略地图</x:t>
  </x:si>
  <x:si>
    <x:r>
      <x:rPr>
        <x:sz val="900"/>
        <x:color rgb="FF24323D"/>
        <x:rFont val="Hiragino Sans GB"/>
      </x:rPr>
      <x:t xml:space="preserve">WorldMapPresentationModel </x:t>
    </x:r>
    <x:r>
      <x:rPr>
        <x:sz val="900"/>
        <x:color rgb="FF24323D"/>
        <x:rFont val="Linux Libertine G"/>
        <x:family val="2"/>
      </x:rPr>
      <x:t xml:space="preserve">只读 </x:t>
    </x:r>
    <x:r>
      <x:rPr>
        <x:sz val="900"/>
        <x:color rgb="FF24323D"/>
        <x:rFont val="Hiragino Sans GB"/>
      </x:rPr>
      <x:t xml:space="preserve">fixture</x:t>
    </x:r>
  </x:si>
  <x:si>
    <x:t xml:space="preserve">world_map_presentation_model.gd + smoke</x:t>
  </x:si>
  <x:si>
    <x:r>
      <x:rPr>
        <x:sz val="900"/>
        <x:color rgb="FF24323D"/>
        <x:rFont val="Linux Libertine G"/>
        <x:family val="2"/>
      </x:rPr>
      <x:t xml:space="preserve">不是持久 </x:t>
    </x:r>
    <x:r>
      <x:rPr>
        <x:sz val="900"/>
        <x:color rgb="FF24323D"/>
        <x:rFont val="Hiragino Sans GB"/>
      </x:rPr>
      <x:t xml:space="preserve">WorldState</x:t>
    </x:r>
  </x:si>
  <x:si>
    <x:t xml:space="preserve">内存快照</x:t>
  </x:si>
  <x:si>
    <x:r>
      <x:rPr>
        <x:sz val="900"/>
        <x:color rgb="FF24323D"/>
        <x:rFont val="Hiragino Sans GB"/>
      </x:rPr>
      <x:t xml:space="preserve">EarlyCitySnapshotV1 schema 1 </x:t>
    </x:r>
    <x:r>
      <x:rPr>
        <x:sz val="900"/>
        <x:color rgb="FF24323D"/>
        <x:rFont val="Linux Libertine G"/>
        <x:family val="2"/>
      </x:rPr>
      <x:t xml:space="preserve">已验收</x:t>
    </x:r>
  </x:si>
  <x:si>
    <x:t xml:space="preserve">tracked code + S1A.1 report</x:t>
  </x:si>
  <x:si>
    <x:t xml:space="preserve">同进程、早期城市范围</x:t>
  </x:si>
  <x:si>
    <x:t xml:space="preserve">磁盘存档</x:t>
  </x:si>
  <x:si>
    <x:t xml:space="preserve">跟踪测试</x:t>
  </x:si>
  <x:si>
    <x:t xml:space="preserve">编辑器扫描</x:t>
  </x:si>
  <x:si>
    <x:r>
      <x:rPr>
        <x:sz val="900"/>
        <x:color rgb="FF24323D"/>
        <x:rFont val="Linux Libertine G"/>
        <x:family val="2"/>
      </x:rPr>
      <x:t xml:space="preserve">备份 </x:t>
    </x:r>
    <x:r>
      <x:rPr>
        <x:sz val="900"/>
        <x:color rgb="FF24323D"/>
        <x:rFont val="Hiragino Sans GB"/>
      </x:rPr>
      <x:t xml:space="preserve">patch</x:t>
    </x:r>
  </x:si>
  <x:si>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保护哈希</x:t>
    </x:r>
  </x:si>
  <x:si>
    <x:t xml:space="preserve">README / DECISIONS / CHANGELOG</x:t>
  </x:si>
  <x:si>
    <x:t xml:space="preserve">仓库不存在</x:t>
  </x:si>
  <x:si>
    <x:t xml:space="preserve">rg --files</x:t>
  </x:si>
  <x:si>
    <x:r>
      <x:rPr>
        <x:sz val="900"/>
        <x:color rgb="FF24323D"/>
        <x:rFont val="Linux Libertine G"/>
        <x:family val="2"/>
      </x:rPr>
      <x:t xml:space="preserve">事实散布在 </x:t>
    </x:r>
    <x:r>
      <x:rPr>
        <x:sz val="900"/>
        <x:color rgb="FF24323D"/>
        <x:rFont val="Hiragino Sans GB"/>
      </x:rPr>
      <x:t xml:space="preserve">CURRENT_STATE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design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handoffs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reports</x:t>
    </x:r>
  </x:si>
  <x:si>
    <x:r>
      <x:rPr>
        <x:b/>
        <x:sz val="1600"/>
        <x:color rgb="FFFFFFFF"/>
        <x:rFont val="Hiragino Sans GB"/>
      </x:rPr>
      <x:t xml:space="preserve">V4–V12 </x:t>
    </x:r>
    <x:r>
      <x:rPr>
        <x:b/>
        <x:sz val="1600"/>
        <x:color rgb="FFFFFFFF"/>
        <x:rFont val="Linux Libertine G"/>
        <x:family val="2"/>
      </x:rPr>
      <x:t xml:space="preserve">长期路线图</x:t>
    </x:r>
  </x:si>
  <x:si>
    <x:r>
      <x:rPr>
        <x:i/>
        <x:sz val="1000"/>
        <x:color rgb="FF34495E"/>
        <x:rFont val="Hiragino Sans GB"/>
      </x:rPr>
      <x:t xml:space="preserve">V5 </x:t>
    </x:r>
    <x:r>
      <x:rPr>
        <x:i/>
        <x:sz val="1000"/>
        <x:color rgb="FF34495E"/>
        <x:rFont val="Linux Libertine G"/>
        <x:family val="2"/>
      </x:rPr>
      <x:t xml:space="preserve">详细、</x:t>
    </x:r>
    <x:r>
      <x:rPr>
        <x:i/>
        <x:sz val="1000"/>
        <x:color rgb="FF34495E"/>
        <x:rFont val="Hiragino Sans GB"/>
      </x:rPr>
      <x:t xml:space="preserve">V6 </x:t>
    </x:r>
    <x:r>
      <x:rPr>
        <x:i/>
        <x:sz val="1000"/>
        <x:color rgb="FF34495E"/>
        <x:rFont val="Linux Libertine G"/>
        <x:family val="2"/>
      </x:rPr>
      <x:t xml:space="preserve">中度、</x:t>
    </x:r>
    <x:r>
      <x:rPr>
        <x:i/>
        <x:sz val="1000"/>
        <x:color rgb="FF34495E"/>
        <x:rFont val="Hiragino Sans GB"/>
      </x:rPr>
      <x:t xml:space="preserve">V7–V12 </x:t>
    </x:r>
    <x:r>
      <x:rPr>
        <x:i/>
        <x:sz val="1000"/>
        <x:color rgb="FF34495E"/>
        <x:rFont val="Linux Libertine G"/>
        <x:family val="2"/>
      </x:rPr>
      <x:t xml:space="preserve">工作包级；远期阶段开始前必须刷新事实并重新拆解。</x:t>
    </x:r>
  </x:si>
  <x:si>
    <x:r>
      <x:rPr>
        <x:b/>
        <x:sz val="1000"/>
        <x:color rgb="FFFFFFFF"/>
        <x:rFont val="Linux Libertine G"/>
        <x:family val="2"/>
      </x:rPr>
      <x:t xml:space="preserve">阶段 </x:t>
    </x:r>
    <x:r>
      <x:rPr>
        <x:b/>
        <x:sz val="1000"/>
        <x:color rgb="FFFFFFFF"/>
        <x:rFont val="Hiragino Sans GB"/>
      </x:rPr>
      <x:t xml:space="preserve">ID</x:t>
    </x:r>
  </x:si>
  <x:si>
    <x:t xml:space="preserve">阶段名称</x:t>
  </x:si>
  <x:si>
    <x:t xml:space="preserve">玩家可感知结果</x:t>
  </x:si>
  <x:si>
    <x:t xml:space="preserve">世界层级</x:t>
  </x:si>
  <x:si>
    <x:t xml:space="preserve">入口条件</x:t>
  </x:si>
  <x:si>
    <x:t xml:space="preserve">输出物</x:t>
  </x:si>
  <x:si>
    <x:t xml:space="preserve">明确不做</x:t>
  </x:si>
  <x:si>
    <x:t xml:space="preserve">核心数据对象</x:t>
  </x:si>
  <x:si>
    <x:t xml:space="preserve">依赖阶段</x:t>
  </x:si>
  <x:si>
    <x:t xml:space="preserve">自动验收门槛</x:t>
  </x:si>
  <x:si>
    <x:t xml:space="preserve">实际窗口门槛</x:t>
  </x:si>
  <x:si>
    <x:t xml:space="preserve">独立复查门槛</x:t>
  </x:si>
  <x:si>
    <x:t xml:space="preserve">主要风险</x:t>
  </x:si>
  <x:si>
    <x:t xml:space="preserve">回滚点</x:t>
  </x:si>
  <x:si>
    <x:t xml:space="preserve">当前状态</x:t>
  </x:si>
  <x:si>
    <x:t xml:space="preserve">阶段进度</x:t>
  </x:si>
  <x:si>
    <x:t xml:space="preserve">派遣主链路冻结</x:t>
  </x:si>
  <x:si>
    <x:t xml:space="preserve">玩家从己方驻军节点选路线、选比例、完成可见行军并得到一次性到达结算。</x:t>
  </x:si>
  <x:si>
    <x:r>
      <x:rPr>
        <x:sz val="900"/>
        <x:color rgb="FF24323D"/>
        <x:rFont val="Linux Libertine G"/>
        <x:family val="2"/>
      </x:rPr>
      <x:t xml:space="preserve">外城战区（隔离 </x:t>
    </x:r>
    <x:r>
      <x:rPr>
        <x:sz val="900"/>
        <x:color rgb="FF24323D"/>
        <x:rFont val="Hiragino Sans GB"/>
      </x:rPr>
      <x:t xml:space="preserve">MVP</x:t>
    </x:r>
    <x:r>
      <x:rPr>
        <x:sz val="900"/>
        <x:color rgb="FF24323D"/>
        <x:rFont val="Linux Libertine G"/>
        <x:family val="2"/>
      </x:rPr>
      <x:t xml:space="preserve">）</x:t>
    </x:r>
  </x:si>
  <x:si>
    <x:r>
      <x:rPr>
        <x:sz val="900"/>
        <x:color rgb="FF24323D"/>
        <x:rFont val="Linux Libertine G"/>
        <x:family val="2"/>
      </x:rPr>
      <x:t xml:space="preserve">当前 </x:t>
    </x:r>
    <x:r>
      <x:rPr>
        <x:sz val="900"/>
        <x:color rgb="FF24323D"/>
        <x:rFont val="Hiragino Sans GB"/>
      </x:rPr>
      <x:t xml:space="preserve">dirty V4 </x:t>
    </x:r>
    <x:r>
      <x:rPr>
        <x:sz val="900"/>
        <x:color rgb="FF24323D"/>
        <x:rFont val="Linux Libertine G"/>
        <x:family val="2"/>
      </x:rPr>
      <x:t xml:space="preserve">三文件与受保护 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范围已锁定。</x:t>
    </x:r>
  </x:si>
  <x:si>
    <x:r>
      <x:rPr>
        <x:sz val="900"/>
        <x:color rgb="FF24323D"/>
        <x:rFont val="Linux Libertine G"/>
        <x:family val="2"/>
      </x:rPr>
      <x:t xml:space="preserve">冻结状态机、驻军守恒、路线先行调遣、行军不冻结、失败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胜利回城与回归证据。</x:t>
    </x:r>
  </x:si>
  <x:si>
    <x:t xml:space="preserve">不扩多兵种、多军队并发、遭遇战、攻城与存档。</x:t>
  </x:si>
  <x:si>
    <x:t xml:space="preserve">UI Interaction State, Pending Order, prototype garrisons, prototype marching-army dictionaries</x:t>
  </x:si>
  <x:si>
    <x:r>
      <x:rPr>
        <x:sz val="900"/>
        <x:color rgb="FF24323D"/>
        <x:rFont val="Hiragino Sans GB"/>
      </x:rPr>
      <x:t xml:space="preserve">P0/P1/C0 </x:t>
    </x:r>
    <x:r>
      <x:rPr>
        <x:sz val="900"/>
        <x:color rgb="FF24323D"/>
        <x:rFont val="Linux Libertine G"/>
        <x:family val="2"/>
      </x:rPr>
      <x:t xml:space="preserve">已有技术基线</x:t>
    </x:r>
  </x:si>
  <x:si>
    <x:t xml:space="preserve">V4 smoke + tracked full regression + scene/headless + diff check</x:t>
  </x:si>
  <x:si>
    <x:t xml:space="preserve">实体鼠标完成取消、失败路线、援军胜利路线、回城重试；持续行军无卡死。</x:t>
  </x:si>
  <x:si>
    <x:r>
      <x:rPr>
        <x:sz val="900"/>
        <x:color rgb="FF24323D"/>
        <x:rFont val="Linux Libertine G"/>
        <x:family val="2"/>
      </x:rPr>
      <x:t xml:space="preserve">独立复查 </x:t>
    </x:r>
    <x:r>
      <x:rPr>
        <x:sz val="900"/>
        <x:color rgb="FF24323D"/>
        <x:rFont val="Hiragino Sans GB"/>
      </x:rPr>
      <x:t xml:space="preserve">dirty diff</x:t>
    </x:r>
    <x:r>
      <x:rPr>
        <x:sz val="900"/>
        <x:color rgb="FF24323D"/>
        <x:rFont val="Linux Libertine G"/>
        <x:family val="2"/>
      </x:rPr>
      <x:t xml:space="preserve">、一次性语义、输入所有权和 </x:t>
    </x:r>
    <x:r>
      <x:rPr>
        <x:sz val="900"/>
        <x:color rgb="FF24323D"/>
        <x:rFont val="Hiragino Sans GB"/>
      </x:rPr>
      <x:t xml:space="preserve">singleton </x:t>
    </x:r>
    <x:r>
      <x:rPr>
        <x:sz val="900"/>
        <x:color rgb="FF24323D"/>
        <x:rFont val="Linux Libertine G"/>
        <x:family val="2"/>
      </x:rPr>
      <x:t xml:space="preserve">风险。</x:t>
    </x:r>
  </x:si>
  <x:si>
    <x:r>
      <x:rPr>
        <x:sz val="900"/>
        <x:color rgb="FF24323D"/>
        <x:rFont val="Linux Libertine G"/>
        <x:family val="2"/>
      </x:rPr>
      <x:t xml:space="preserve">大 </x:t>
    </x:r>
    <x:r>
      <x:rPr>
        <x:sz val="900"/>
        <x:color rgb="FF24323D"/>
        <x:rFont val="Hiragino Sans GB"/>
      </x:rPr>
      <x:t xml:space="preserve">dirty diff</x:t>
    </x:r>
    <x:r>
      <x:rPr>
        <x:sz val="900"/>
        <x:color rgb="FF24323D"/>
        <x:rFont val="Linux Libertine G"/>
        <x:family val="2"/>
      </x:rPr>
      <x:t xml:space="preserve">；原型脚本同时持有表现、输入与临时战区状态。</x:t>
    </x:r>
  </x:si>
  <x:si>
    <x:r>
      <x:rPr>
        <x:sz val="900"/>
        <x:color rgb="FF24323D"/>
        <x:rFont val="Linux Libertine G"/>
        <x:family val="2"/>
      </x:rPr>
      <x:t xml:space="preserve">冻结前使用精确 </x:t>
    </x:r>
    <x:r>
      <x:rPr>
        <x:sz val="900"/>
        <x:color rgb="FF24323D"/>
        <x:rFont val="Hiragino Sans GB"/>
      </x:rPr>
      <x:t xml:space="preserve">dirty </x:t>
    </x:r>
    <x:r>
      <x:rPr>
        <x:sz val="900"/>
        <x:color rgb="FF24323D"/>
        <x:rFont val="Linux Libertine G"/>
        <x:family val="2"/>
      </x:rPr>
      <x:t xml:space="preserve">文件清单、</x:t>
    </x:r>
    <x:r>
      <x:rPr>
        <x:sz val="900"/>
        <x:color rgb="FF24323D"/>
        <x:rFont val="Hiragino Sans GB"/>
      </x:rPr>
      <x:t xml:space="preserve">patch/</x:t>
    </x:r>
    <x:r>
      <x:rPr>
        <x:sz val="900"/>
        <x:color rgb="FF24323D"/>
        <x:rFont val="Linux Libertine G"/>
        <x:family val="2"/>
      </x:rPr>
      <x:t xml:space="preserve">归档哈希与正反向 </x:t>
    </x:r>
    <x:r>
      <x:rPr>
        <x:sz val="900"/>
        <x:color rgb="FF24323D"/>
        <x:rFont val="Hiragino Sans GB"/>
      </x:rPr>
      <x:t xml:space="preserve">apply </x:t>
    </x:r>
    <x:r>
      <x:rPr>
        <x:sz val="900"/>
        <x:color rgb="FF24323D"/>
        <x:rFont val="Linux Libertine G"/>
        <x:family val="2"/>
      </x:rPr>
      <x:t xml:space="preserve">检查；冻结后使用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原子提交及其父提交。</x:t>
    </x:r>
  </x:si>
  <x:si>
    <x:t xml:space="preserve">单兵种战争底座＋城内训练补兵</x:t>
  </x:si>
  <x:si>
    <x:r>
      <x:rPr>
        <x:sz val="900"/>
        <x:color rgb="FF24323D"/>
        <x:rFont val="Linux Libertine G"/>
        <x:family val="2"/>
      </x:rPr>
      <x:t xml:space="preserve">城市能真实训练步兵；驻军可派出；伤亡、幸存、驻扎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返回写回；保存重载后保持一致。</x:t>
    </x:r>
  </x:si>
  <x:si>
    <x:r>
      <x:rPr>
        <x:sz val="900"/>
        <x:color rgb="FF24323D"/>
        <x:rFont val="Linux Libertine G"/>
        <x:family val="2"/>
      </x:rPr>
      <x:t xml:space="preserve">常态内城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外城派遣适配</x:t>
    </x:r>
  </x:si>
  <x:si>
    <x:r>
      <x:rPr>
        <x:sz val="900"/>
        <x:color rgb="FF24323D"/>
        <x:rFont val="Hiragino Sans GB"/>
      </x:rPr>
      <x:t xml:space="preserve">V4 VERIFIED</x:t>
    </x:r>
    <x:r>
      <x:rPr>
        <x:sz val="900"/>
        <x:color rgb="FF24323D"/>
        <x:rFont val="Linux Libertine G"/>
        <x:family val="2"/>
      </x:rPr>
      <x:t xml:space="preserve">；城市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驻军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军队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训练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存档所有权合同通过 </x:t>
    </x:r>
    <x:r>
      <x:rPr>
        <x:sz val="900"/>
        <x:color rgb="FF24323D"/>
        <x:rFont val="Hiragino Sans GB"/>
      </x:rPr>
      <x:t xml:space="preserve">G1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</x:si>
  <x:si>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单兵种静态定义、持久驻军、训练队列、可持久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集合容器（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最多一支 </x:t>
    </x:r>
    <x:r>
      <x:rPr>
        <x:sz val="900"/>
        <x:color rgb="FF24323D"/>
        <x:rFont val="Hiragino Sans GB"/>
      </x:rPr>
      <x:t xml:space="preserve">active</x:t>
    </x:r>
    <x:r>
      <x:rPr>
        <x:sz val="900"/>
        <x:color rgb="FF24323D"/>
        <x:rFont val="Linux Libertine G"/>
        <x:family val="2"/>
      </x:rPr>
      <x:t xml:space="preserve">）、结果写回、版本化迁移、最小军备 </x:t>
    </x:r>
    <x:r>
      <x:rPr>
        <x:sz val="900"/>
        <x:color rgb="FF24323D"/>
        <x:rFont val="Hiragino Sans GB"/>
      </x:rPr>
      <x:t xml:space="preserve">UI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</x:si>
  <x:si>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不做第二兵种、多军队同屏指挥、敌方 </x:t>
    </x:r>
    <x:r>
      <x:rPr>
        <x:sz val="900"/>
        <x:color rgb="FF24323D"/>
        <x:rFont val="Hiragino Sans GB"/>
      </x:rPr>
      <x:t xml:space="preserve">AI</x:t>
    </x:r>
    <x:r>
      <x:rPr>
        <x:sz val="900"/>
        <x:color rgb="FF24323D"/>
        <x:rFont val="Linux Libertine G"/>
        <x:family val="2"/>
      </x:rPr>
      <x:t xml:space="preserve">、攻城、正式美术。</x:t>
    </x:r>
  </x:si>
  <x:si>
    <x:t xml:space="preserve">Unit definition contract, GarrisonState, TrainingQueue, ArmyState collection, City authority adapter, Save schema/migration</x:t>
  </x:si>
  <x:si>
    <x:t xml:space="preserve">合同测试、训练日结算、驻军守恒、派遣幂等、结果写回、存档迁移、全量回归。</x:t>
  </x:si>
  <x:si>
    <x:t xml:space="preserve">训练一名步兵→派遣→结果→幸存写回→保存退出→重载一致。</x:t>
  </x:si>
  <x:si>
    <x:r>
      <x:rPr>
        <x:sz val="900"/>
        <x:color rgb="FF24323D"/>
        <x:rFont val="Hiragino Sans GB"/>
      </x:rPr>
      <x:t xml:space="preserve">G1 </x:t>
    </x:r>
    <x:r>
      <x:rPr>
        <x:sz val="900"/>
        <x:color rgb="FF24323D"/>
        <x:rFont val="Linux Libertine G"/>
        <x:family val="2"/>
      </x:rPr>
      <x:t xml:space="preserve">数据合同、</x:t>
    </x:r>
    <x:r>
      <x:rPr>
        <x:sz val="900"/>
        <x:color rgb="FF24323D"/>
        <x:rFont val="Hiragino Sans GB"/>
      </x:rPr>
      <x:t xml:space="preserve">G2 </x:t>
    </x:r>
    <x:r>
      <x:rPr>
        <x:sz val="900"/>
        <x:color rgb="FF24323D"/>
        <x:rFont val="Linux Libertine G"/>
        <x:family val="2"/>
      </x:rPr>
      <x:t xml:space="preserve">垂直闭环、</x:t>
    </x:r>
    <x:r>
      <x:rPr>
        <x:sz val="900"/>
        <x:color rgb="FF24323D"/>
        <x:rFont val="Hiragino Sans GB"/>
      </x:rPr>
      <x:t xml:space="preserve">G5 </x:t>
    </x:r>
    <x:r>
      <x:rPr>
        <x:sz val="900"/>
        <x:color rgb="FF24323D"/>
        <x:rFont val="Linux Libertine G"/>
        <x:family val="2"/>
      </x:rPr>
      <x:t xml:space="preserve">阶段独立复查。</x:t>
    </x:r>
  </x:si>
  <x:si>
    <x:r>
      <x:rPr>
        <x:sz val="900"/>
        <x:color rgb="FF24323D"/>
        <x:rFont val="Linux Libertine G"/>
        <x:family val="2"/>
      </x:rPr>
      <x:t xml:space="preserve">复制第二套 </x:t>
    </x:r>
    <x:r>
      <x:rPr>
        <x:sz val="900"/>
        <x:color rgb="FF24323D"/>
        <x:rFont val="Hiragino Sans GB"/>
      </x:rPr>
      <x:t xml:space="preserve">CityState</x:t>
    </x:r>
    <x:r>
      <x:rPr>
        <x:sz val="900"/>
        <x:color rgb="FF24323D"/>
        <x:rFont val="Linux Libertine G"/>
        <x:family val="2"/>
      </x:rPr>
      <x:t xml:space="preserve">；把单兵种误固化为一个整数；未验收 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被误纳入。</x:t>
    </x:r>
  </x:si>
  <x:si>
    <x:r>
      <x:rPr>
        <x:sz val="900"/>
        <x:color rgb="FF24323D"/>
        <x:rFont val="Linux Libertine G"/>
        <x:family val="2"/>
      </x:rPr>
      <x:t xml:space="preserve">每个工作包原子提交；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冻结提交为返回点。</x:t>
    </x:r>
  </x:si>
  <x:si>
    <x:t xml:space="preserve">持久外城战区＋多军队数据模型</x:t>
  </x:si>
  <x:si>
    <x:t xml:space="preserve">多支军队可以在持久外城道路上行军、驻扎、支援、进攻、返回，重进场景后位置与进度一致。</x:t>
  </x:si>
  <x:si>
    <x:r>
      <x:rPr>
        <x:sz val="900"/>
        <x:color rgb="FF24323D"/>
        <x:rFont val="Linux Libertine G"/>
        <x:family val="2"/>
      </x:rPr>
      <x:t xml:space="preserve">外城战区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常态内城</x:t>
    </x:r>
  </x:si>
  <x:si>
    <x:r>
      <x:rPr>
        <x:sz val="900"/>
        <x:color rgb="FF24323D"/>
        <x:rFont val="Hiragino Sans GB"/>
      </x:rPr>
      <x:t xml:space="preserve">V5 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与存档迁移稳定。</x:t>
    </x:r>
  </x:si>
  <x:si>
    <x:r>
      <x:rPr>
        <x:sz val="900"/>
        <x:color rgb="FF24323D"/>
        <x:rFont val="Linux Libertine G"/>
        <x:family val="2"/>
      </x:rPr>
      <x:t xml:space="preserve">在 </x:t>
    </x:r>
    <x:r>
      <x:rPr>
        <x:sz val="900"/>
        <x:color rgb="FF24323D"/>
        <x:rFont val="Hiragino Sans GB"/>
      </x:rPr>
      <x:t xml:space="preserve">V5 ArmyState </x:t>
    </x:r>
    <x:r>
      <x:rPr>
        <x:sz val="900"/>
        <x:color rgb="FF24323D"/>
        <x:rFont val="Linux Libertine G"/>
        <x:family val="2"/>
      </x:rPr>
      <x:t xml:space="preserve">集合容器上启用多个 </x:t>
    </x:r>
    <x:r>
      <x:rPr>
        <x:sz val="900"/>
        <x:color rgb="FF24323D"/>
        <x:rFont val="Hiragino Sans GB"/>
      </x:rPr>
      <x:t xml:space="preserve">active army</x:t>
    </x:r>
    <x:r>
      <x:rPr>
        <x:sz val="900"/>
        <x:color rgb="FF24323D"/>
        <x:rFont val="Linux Libertine G"/>
        <x:family val="2"/>
      </x:rPr>
      <x:t xml:space="preserve">、持久战区状态、</x:t>
    </x:r>
    <x:r>
      <x:rPr>
        <x:sz val="900"/>
        <x:color rgb="FF24323D"/>
        <x:rFont val="Hiragino Sans GB"/>
      </x:rPr>
      <x:t xml:space="preserve">RouteState</x:t>
    </x:r>
    <x:r>
      <x:rPr>
        <x:sz val="900"/>
        <x:color rgb="FF24323D"/>
        <x:rFont val="Linux Libertine G"/>
        <x:family val="2"/>
      </x:rPr>
      <x:t xml:space="preserve">、完整行军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场景恢复、遭遇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围城触发合同。</x:t>
    </x:r>
  </x:si>
  <x:si>
    <x:r>
      <x:rPr>
        <x:sz val="900"/>
        <x:color rgb="FF24323D"/>
        <x:rFont val="Linux Libertine G"/>
        <x:family val="2"/>
      </x:rPr>
      <x:t xml:space="preserve">不实现完整遭遇战与攻城表现；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仍可一次只操作一支军队。</x:t>
    </x:r>
  </x:si>
  <x:si>
    <x:t xml:space="preserve">Theater/World-map strategic state, RouteState, V5 ArmyState collection extension, encounter/siege trigger facts</x:t>
  </x:si>
  <x:si>
    <x:r>
      <x:rPr>
        <x:sz val="900"/>
        <x:color rgb="FF24323D"/>
        <x:rFont val="Linux Libertine G"/>
        <x:family val="2"/>
      </x:rPr>
      <x:t xml:space="preserve">多军队守恒、并发到达幂等、行军保存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恢复、场景重进、触发合同。</x:t>
    </x:r>
  </x:si>
  <x:si>
    <x:r>
      <x:rPr>
        <x:sz val="900"/>
        <x:color rgb="FF24323D"/>
        <x:rFont val="Linux Libertine G"/>
        <x:family val="2"/>
      </x:rPr>
      <x:t xml:space="preserve">两支军队分别行军并重进外城；驻扎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支援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返回可读。</x:t>
    </x:r>
  </x:si>
  <x:si>
    <x:t xml:space="preserve">状态所有权、并发与迁移独立复查。</x:t>
  </x:si>
  <x:si>
    <x:r>
      <x:rPr>
        <x:sz val="900"/>
        <x:color rgb="FF24323D"/>
        <x:rFont val="Linux Libertine G"/>
        <x:family val="2"/>
      </x:rPr>
      <x:t xml:space="preserve">把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单命令限制固化为模型单例；战略状态与表现 </x:t>
    </x:r>
    <x:r>
      <x:rPr>
        <x:sz val="900"/>
        <x:color rgb="FF24323D"/>
        <x:rFont val="Hiragino Sans GB"/>
      </x:rPr>
      <x:t xml:space="preserve">fixture </x:t>
    </x:r>
    <x:r>
      <x:rPr>
        <x:sz val="900"/>
        <x:color rgb="FF24323D"/>
        <x:rFont val="Linux Libertine G"/>
        <x:family val="2"/>
      </x:rPr>
      <x:t xml:space="preserve">混淆。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</x:si>
  <x:si>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冻结提交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外城状态迁移前备份。</x:t>
    </x:r>
  </x:si>
  <x:si>
    <x:t xml:space="preserve">步兵遭遇战</x:t>
  </x:si>
  <x:si>
    <x:t xml:space="preserve">两军在道路或据点相遇时进入可读、可决策的步兵遭遇战，结果写回军队与战区。</x:t>
  </x:si>
  <x:si>
    <x:r>
      <x:rPr>
        <x:sz val="900"/>
        <x:color rgb="FF24323D"/>
        <x:rFont val="Linux Libertine G"/>
        <x:family val="2"/>
      </x:rPr>
      <x:t xml:space="preserve">外城战区 </x:t>
    </x:r>
    <x:r>
      <x:rPr>
        <x:sz val="900"/>
        <x:color rgb="FF24323D"/>
        <x:rFont val="Hiragino Sans GB"/>
      </x:rPr>
      <x:t xml:space="preserve">+ BattleSession</x:t>
    </x:r>
  </x:si>
  <x:si>
    <x:r>
      <x:rPr>
        <x:sz val="900"/>
        <x:color rgb="FF24323D"/>
        <x:rFont val="Hiragino Sans GB"/>
      </x:rPr>
      <x:t xml:space="preserve">V6 VERIFIED</x:t>
    </x:r>
    <x:r>
      <x:rPr>
        <x:sz val="900"/>
        <x:color rgb="FF24323D"/>
        <x:rFont val="Linux Libertine G"/>
        <x:family val="2"/>
      </x:rPr>
      <x:t xml:space="preserve">；遭遇触发合同已冻结。</x:t>
    </x:r>
  </x:si>
  <x:si>
    <x:r>
      <x:rPr>
        <x:sz val="900"/>
        <x:color rgb="FF24323D"/>
        <x:rFont val="Linux Libertine G"/>
        <x:family val="2"/>
      </x:rPr>
      <x:t xml:space="preserve">遭遇 </x:t>
    </x:r>
    <x:r>
      <x:rPr>
        <x:sz val="900"/>
        <x:color rgb="FF24323D"/>
        <x:rFont val="Hiragino Sans GB"/>
      </x:rPr>
      <x:t xml:space="preserve">BattleRequest</x:t>
    </x:r>
    <x:r>
      <x:rPr>
        <x:sz val="900"/>
        <x:color rgb="FF24323D"/>
        <x:rFont val="Linux Libertine G"/>
        <x:family val="2"/>
      </x:rPr>
      <x:t xml:space="preserve">、步兵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适配、结果写回、撤退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失败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胜利。</x:t>
    </x:r>
  </x:si>
  <x:si>
    <x:t xml:space="preserve">不做第二兵种、攻城、复杂地形、装备与将领主动技能。</x:t>
  </x:si>
  <x:si>
    <x:t xml:space="preserve">BattleRequest, BattleSession, BattleResult, ArmyState outcome adapter</x:t>
  </x:si>
  <x:si>
    <x:t xml:space="preserve">确定性、兵力守恒、重复结果、返回与存档回归。</x:t>
  </x:si>
  <x:si>
    <x:t xml:space="preserve">至少胜利、失败、撤退各一次并解释原因。</x:t>
  </x:si>
  <x:si>
    <x:t xml:space="preserve">战斗事实与战略写回边界复查。</x:t>
  </x:si>
  <x:si>
    <x:r>
      <x:rPr>
        <x:sz val="900"/>
        <x:color rgb="FF24323D"/>
        <x:rFont val="Linux Libertine G"/>
        <x:family val="2"/>
      </x:rPr>
      <x:t xml:space="preserve">复制 </x:t>
    </x:r>
    <x:r>
      <x:rPr>
        <x:sz val="900"/>
        <x:color rgb="FF24323D"/>
        <x:rFont val="Hiragino Sans GB"/>
      </x:rPr>
      <x:t xml:space="preserve">C0 </x:t>
    </x:r>
    <x:r>
      <x:rPr>
        <x:sz val="900"/>
        <x:color rgb="FF24323D"/>
        <x:rFont val="Linux Libertine G"/>
        <x:family val="2"/>
      </x:rPr>
      <x:t xml:space="preserve">战斗规则；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直接修改持久状态。</x:t>
    </x:r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</x:si>
  <x:si>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冻结提交。</x:t>
    </x:r>
  </x:si>
  <x:si>
    <x:t xml:space="preserve">围城状态＋战事内城</x:t>
  </x:si>
  <x:si>
    <x:r>
      <x:rPr>
        <x:sz val="900"/>
        <x:color rgb="FF24323D"/>
        <x:rFont val="Linux Libertine G"/>
        <x:family val="2"/>
      </x:rPr>
      <x:t xml:space="preserve">军队抵达敌城后形成围城；进入临时战事内城，城墙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城门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核心代表战役，不摧毁常态内城布局。</x:t>
    </x:r>
  </x:si>
  <x:si>
    <x:r>
      <x:rPr>
        <x:sz val="900"/>
        <x:color rgb="FF24323D"/>
        <x:rFont val="Linux Libertine G"/>
        <x:family val="2"/>
      </x:rPr>
      <x:t xml:space="preserve">外城战区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战事内城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持久城市</x:t>
    </x:r>
  </x:si>
  <x:si>
    <x:r>
      <x:rPr>
        <x:sz val="900"/>
        <x:color rgb="FF24323D"/>
        <x:rFont val="Hiragino Sans GB"/>
      </x:rPr>
      <x:t xml:space="preserve">V7 VERIFIED</x:t>
    </x:r>
    <x:r>
      <x:rPr>
        <x:sz val="900"/>
        <x:color rgb="FF24323D"/>
        <x:rFont val="Linux Libertine G"/>
        <x:family val="2"/>
      </x:rPr>
      <x:t xml:space="preserve">；围城触发与城市保全契约通过。</x:t>
    </x:r>
  </x:si>
  <x:si>
    <x:r>
      <x:rPr>
        <x:sz val="900"/>
        <x:color rgb="FF24323D"/>
        <x:rFont val="Hiragino Sans GB"/>
      </x:rPr>
      <x:t xml:space="preserve">Siege contract</x:t>
    </x:r>
    <x:r>
      <x:rPr>
        <x:sz val="900"/>
        <x:color rgb="FF24323D"/>
        <x:rFont val="Linux Libertine G"/>
        <x:family val="2"/>
      </x:rPr>
      <x:t xml:space="preserve">、战事内城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配置、可维修损伤、结果协调写回。</x:t>
    </x:r>
  </x:si>
  <x:si>
    <x:t xml:space="preserve">不复制城市建设、不随机删除建筑、不实现第二城市。</x:t>
  </x:si>
  <x:si>
    <x:t xml:space="preserve">SiegeSession concept or BattleSession specialization, City damage facts, outcome resolver</x:t>
  </x:si>
  <x:si>
    <x:t xml:space="preserve">城市布局保全、损伤幂等、胜败撤退、重复返回。</x:t>
  </x:si>
  <x:si>
    <x:t xml:space="preserve">战时核心被攻破后常态内城布局仍存在且后果可理解。</x:t>
  </x:si>
  <x:si>
    <x:r>
      <x:rPr>
        <x:sz val="900"/>
        <x:color rgb="FF24323D"/>
        <x:rFont val="Hiragino Sans GB"/>
      </x:rPr>
      <x:t xml:space="preserve">CityState/</x:t>
    </x:r>
    <x:r>
      <x:rPr>
        <x:sz val="900"/>
        <x:color rgb="FF24323D"/>
        <x:rFont val="Linux Libertine G"/>
        <x:family val="2"/>
      </x:rPr>
      <x:t xml:space="preserve">战事内城边界高风险复查。</x:t>
    </x:r>
  </x:si>
  <x:si>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失败被误写为删城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重置布局。</x:t>
    </x:r>
  </x:si>
  <x:si>
    <x:r>
      <x:rPr>
        <x:sz val="900"/>
        <x:color rgb="FF24323D"/>
        <x:rFont val="Hiragino Sans GB"/>
      </x:rPr>
      <x:t xml:space="preserve">V7 </x:t>
    </x:r>
    <x:r>
      <x:rPr>
        <x:sz val="900"/>
        <x:color rgb="FF24323D"/>
        <x:rFont val="Linux Libertine G"/>
        <x:family val="2"/>
      </x:rPr>
      <x:t xml:space="preserve">冻结提交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城市数据备份。</x:t>
    </x:r>
  </x:si>
  <x:si>
    <x:t xml:space="preserve">第二持久城市＋占领闭环</x:t>
  </x:si>
  <x:si>
    <x:r>
      <x:rPr>
        <x:sz val="900"/>
        <x:color rgb="FF24323D"/>
        <x:rFont val="Linux Libertine G"/>
        <x:family val="2"/>
      </x:rPr>
      <x:t xml:space="preserve">玩家可占领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收复第二城市；其布局和归属持久，失败不销毁原布局。</x:t>
    </x:r>
  </x:si>
  <x:si>
    <x:r>
      <x:rPr>
        <x:sz val="900"/>
        <x:color rgb="FF24323D"/>
        <x:rFont val="Linux Libertine G"/>
        <x:family val="2"/>
      </x:rPr>
      <x:t xml:space="preserve">常态内城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外城战区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天下地图</x:t>
    </x:r>
  </x:si>
  <x:si>
    <x:r>
      <x:rPr>
        <x:sz val="900"/>
        <x:color rgb="FF24323D"/>
        <x:rFont val="Hiragino Sans GB"/>
      </x:rPr>
      <x:t xml:space="preserve">V8 VERIFIED</x:t>
    </x:r>
    <x:r>
      <x:rPr>
        <x:sz val="900"/>
        <x:color rgb="FF24323D"/>
        <x:rFont val="Linux Libertine G"/>
        <x:family val="2"/>
      </x:rPr>
      <x:t xml:space="preserve">；多城市 </x:t>
    </x:r>
    <x:r>
      <x:rPr>
        <x:sz val="900"/>
        <x:color rgb="FF24323D"/>
        <x:rFont val="Hiragino Sans GB"/>
      </x:rPr>
      <x:t xml:space="preserve">identity </x:t>
    </x:r>
    <x:r>
      <x:rPr>
        <x:sz val="900"/>
        <x:color rgb="FF24323D"/>
        <x:rFont val="Linux Libertine G"/>
        <x:family val="2"/>
      </x:rPr>
      <x:t xml:space="preserve">与迁移设计通过。</x:t>
    </x:r>
  </x:si>
  <x:si>
    <x:r>
      <x:rPr>
        <x:sz val="900"/>
        <x:color rgb="FF24323D"/>
        <x:rFont val="Linux Libertine G"/>
        <x:family val="2"/>
      </x:rPr>
      <x:t xml:space="preserve">第二城市实例、归属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锁定、占领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收复、城市切换和存档。</x:t>
    </x:r>
  </x:si>
  <x:si>
    <x:t xml:space="preserve">不扩大城市数量、不做完整世界经济。</x:t>
  </x:si>
  <x:si>
    <x:t xml:space="preserve">City identity registry, persistent city instances, ownership facts</x:t>
  </x:si>
  <x:si>
    <x:t xml:space="preserve">城市隔离、归属幂等、布局保全、迁移。</x:t>
  </x:si>
  <x:si>
    <x:t xml:space="preserve">占领、切换、失败、收复后的两个城市状态清晰。</x:t>
  </x:si>
  <x:si>
    <x:t xml:space="preserve">多城市单一事实源与迁移复查。</x:t>
  </x:si>
  <x:si>
    <x:r>
      <x:rPr>
        <x:sz val="900"/>
        <x:color rgb="FF24323D"/>
        <x:rFont val="Linux Libertine G"/>
        <x:family val="2"/>
      </x:rPr>
      <x:t xml:space="preserve">通过复制 </x:t>
    </x:r>
    <x:r>
      <x:rPr>
        <x:sz val="900"/>
        <x:color rgb="FF24323D"/>
        <x:rFont val="Hiragino Sans GB"/>
      </x:rPr>
      <x:t xml:space="preserve">ConstructionController </x:t>
    </x:r>
    <x:r>
      <x:rPr>
        <x:sz val="900"/>
        <x:color rgb="FF24323D"/>
        <x:rFont val="Linux Libertine G"/>
        <x:family val="2"/>
      </x:rPr>
      <x:t xml:space="preserve">形成多个互相漂移的真相。</x:t>
    </x:r>
  </x:si>
  <x:si>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冻结提交 </x:t>
    </x:r>
    <x:r>
      <x:rPr>
        <x:sz val="900"/>
        <x:color rgb="FF24323D"/>
        <x:rFont val="Hiragino Sans GB"/>
      </x:rPr>
      <x:t xml:space="preserve">+ schema </x:t>
    </x:r>
    <x:r>
      <x:rPr>
        <x:sz val="900"/>
        <x:color rgb="FF24323D"/>
        <x:rFont val="Linux Libertine G"/>
        <x:family val="2"/>
      </x:rPr>
      <x:t xml:space="preserve">迁移前备份。</x:t>
    </x:r>
  </x:si>
  <x:si>
    <x:t xml:space="preserve">敌方战略行动</x:t>
  </x:si>
  <x:si>
    <x:t xml:space="preserve">敌军会在天下地图上增援、封锁、进攻；玩家能提前看见并响应。</x:t>
  </x:si>
  <x:si>
    <x:r>
      <x:rPr>
        <x:sz val="900"/>
        <x:color rgb="FF24323D"/>
        <x:rFont val="Linux Libertine G"/>
        <x:family val="2"/>
      </x:rPr>
      <x:t xml:space="preserve">天下地图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外城战区</x:t>
    </x:r>
  </x:si>
  <x:si>
    <x:r>
      <x:rPr>
        <x:sz val="900"/>
        <x:color rgb="FF24323D"/>
        <x:rFont val="Hiragino Sans GB"/>
      </x:rPr>
      <x:t xml:space="preserve">V9 VERIFIED</x:t>
    </x:r>
    <x:r>
      <x:rPr>
        <x:sz val="900"/>
        <x:color rgb="FF24323D"/>
        <x:rFont val="Linux Libertine G"/>
        <x:family val="2"/>
      </x:rPr>
      <x:t xml:space="preserve">；战略时间和敌方命令合同通过。</x:t>
    </x:r>
  </x:si>
  <x:si>
    <x:r>
      <x:rPr>
        <x:sz val="900"/>
        <x:color rgb="FF24323D"/>
        <x:rFont val="Linux Libertine G"/>
        <x:family val="2"/>
      </x:rPr>
      <x:t xml:space="preserve">确定性敌方行动、预告、路线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驻军变化和结果日志。</x:t>
    </x:r>
  </x:si>
  <x:si>
    <x:r>
      <x:rPr>
        <x:sz val="900"/>
        <x:color rgb="FF24323D"/>
        <x:rFont val="Linux Libertine G"/>
        <x:family val="2"/>
      </x:rPr>
      <x:t xml:space="preserve">不做复杂 </x:t>
    </x:r>
    <x:r>
      <x:rPr>
        <x:sz val="900"/>
        <x:color rgb="FF24323D"/>
        <x:rFont val="Hiragino Sans GB"/>
      </x:rPr>
      <x:t xml:space="preserve">AI </x:t>
    </x:r>
    <x:r>
      <x:rPr>
        <x:sz val="900"/>
        <x:color rgb="FF24323D"/>
        <x:rFont val="Linux Libertine G"/>
        <x:family val="2"/>
      </x:rPr>
      <x:t xml:space="preserve">学习、不做随机事件海量池。</x:t>
    </x:r>
  </x:si>
  <x:si>
    <x:t xml:space="preserve">World strategic state, enemy orders, deterministic schedule/seed contract</x:t>
  </x:si>
  <x:si>
    <x:t xml:space="preserve">确定性重放、顺序、冲突、重复执行与存档。</x:t>
  </x:si>
  <x:si>
    <x:t xml:space="preserve">玩家能说清敌军下一步及自己的应对。</x:t>
  </x:si>
  <x:si>
    <x:t xml:space="preserve">敌方状态写入、时间顺序和可读性复查。</x:t>
  </x:si>
  <x:si>
    <x:r>
      <x:rPr>
        <x:sz val="900"/>
        <x:color rgb="FF24323D"/>
        <x:rFont val="Linux Libertine G"/>
        <x:family val="2"/>
      </x:rPr>
      <x:t xml:space="preserve">敌方逻辑绕过城市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军队权威入口。</x:t>
    </x:r>
  </x:si>
  <x:si>
    <x:r>
      <x:rPr>
        <x:sz val="900"/>
        <x:color rgb="FF24323D"/>
        <x:rFont val="Hiragino Sans GB"/>
      </x:rPr>
      <x:t xml:space="preserve">V9 </x:t>
    </x:r>
    <x:r>
      <x:rPr>
        <x:sz val="900"/>
        <x:color rgb="FF24323D"/>
        <x:rFont val="Linux Libertine G"/>
        <x:family val="2"/>
      </x:rPr>
      <x:t xml:space="preserve">冻结提交。</x:t>
    </x:r>
  </x:si>
  <x:si>
    <x:t xml:space="preserve">第二兵种＋正式编组</x:t>
  </x:si>
  <x:si>
    <x:r>
      <x:rPr>
        <x:sz val="900"/>
        <x:color rgb="FF24323D"/>
        <x:rFont val="Linux Libertine G"/>
        <x:family val="2"/>
      </x:rPr>
      <x:t xml:space="preserve">玩家用两种真实兵种组成可保存编组，并在战前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战中体现差异。</x:t>
    </x:r>
  </x:si>
  <x:si>
    <x:r>
      <x:rPr>
        <x:sz val="900"/>
        <x:color rgb="FF24323D"/>
        <x:rFont val="Linux Libertine G"/>
        <x:family val="2"/>
      </x:rPr>
      <x:t xml:space="preserve">常态内城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外城战区 </x:t>
    </x:r>
    <x:r>
      <x:rPr>
        <x:sz val="900"/>
        <x:color rgb="FF24323D"/>
        <x:rFont val="Hiragino Sans GB"/>
      </x:rPr>
      <x:t xml:space="preserve">+ BattleSession</x:t>
    </x:r>
  </x:si>
  <x:si>
    <x:r>
      <x:rPr>
        <x:sz val="900"/>
        <x:color rgb="FF24323D"/>
        <x:rFont val="Hiragino Sans GB"/>
      </x:rPr>
      <x:t xml:space="preserve">V10 VERIFIED</x:t>
    </x:r>
    <x:r>
      <x:rPr>
        <x:sz val="900"/>
        <x:color rgb="FF24323D"/>
        <x:rFont val="Linux Libertine G"/>
        <x:family val="2"/>
      </x:rPr>
      <x:t xml:space="preserve">；单兵种数据合同已证明可扩展。</x:t>
    </x:r>
  </x:si>
  <x:si>
    <x:r>
      <x:rPr>
        <x:sz val="900"/>
        <x:color rgb="FF24323D"/>
        <x:rFont val="Linux Libertine G"/>
        <x:family val="2"/>
      </x:rPr>
      <x:t xml:space="preserve">第二 </x:t>
    </x:r>
    <x:r>
      <x:rPr>
        <x:sz val="900"/>
        <x:color rgb="FF24323D"/>
        <x:rFont val="Hiragino Sans GB"/>
      </x:rPr>
      <x:t xml:space="preserve">UnitDefinition</x:t>
    </x:r>
    <x:r>
      <x:rPr>
        <x:sz val="900"/>
        <x:color rgb="FF24323D"/>
        <x:rFont val="Linux Libertine G"/>
        <x:family val="2"/>
      </x:rPr>
      <x:t xml:space="preserve">、训练与补给规则、编组、战斗差异。</x:t>
    </x:r>
  </x:si>
  <x:si>
    <x:r>
      <x:rPr>
        <x:sz val="900"/>
        <x:color rgb="FF24323D"/>
        <x:rFont val="Linux Libertine G"/>
        <x:family val="2"/>
      </x:rPr>
      <x:t xml:space="preserve">不一次扩四兵种、不做装备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抽卡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将领养成。</x:t>
    </x:r>
  </x:si>
  <x:si>
    <x:t xml:space="preserve">UnitDefinition collection, Formation/Army composition</x:t>
  </x:si>
  <x:si>
    <x:t xml:space="preserve">多兵种守恒、训练、编组、迁移、战斗结果。</x:t>
  </x:si>
  <x:si>
    <x:t xml:space="preserve">两种编组产生可解释的不同结果。</x:t>
  </x:si>
  <x:si>
    <x:t xml:space="preserve">数据迁移与战斗平衡接口复查。</x:t>
  </x:si>
  <x:si>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空选项先于规则；旧单整数兵力迁移丢失。</x:t>
    </x:r>
  </x:si>
  <x:si>
    <x:r>
      <x:rPr>
        <x:sz val="900"/>
        <x:color rgb="FF24323D"/>
        <x:rFont val="Hiragino Sans GB"/>
      </x:rPr>
      <x:t xml:space="preserve">V10 </x:t>
    </x:r>
    <x:r>
      <x:rPr>
        <x:sz val="900"/>
        <x:color rgb="FF24323D"/>
        <x:rFont val="Linux Libertine G"/>
        <x:family val="2"/>
      </x:rPr>
      <x:t xml:space="preserve">冻结提交 </x:t>
    </x:r>
    <x:r>
      <x:rPr>
        <x:sz val="900"/>
        <x:color rgb="FF24323D"/>
        <x:rFont val="Hiragino Sans GB"/>
      </x:rPr>
      <x:t xml:space="preserve">+ schema </x:t>
    </x:r>
    <x:r>
      <x:rPr>
        <x:sz val="900"/>
        <x:color rgb="FF24323D"/>
        <x:rFont val="Linux Libertine G"/>
        <x:family val="2"/>
      </x:rPr>
      <x:t xml:space="preserve">备份。</x:t>
    </x:r>
  </x:si>
  <x:si>
    <x:t xml:space="preserve">工程、侦察、伏击和特殊行动</x:t>
  </x:si>
  <x:si>
    <x:t xml:space="preserve">军队可执行少量明确的非正面战斗行动，改变路线、情报或战斗条件。</x:t>
  </x:si>
  <x:si>
    <x:r>
      <x:rPr>
        <x:sz val="900"/>
        <x:color rgb="FF24323D"/>
        <x:rFont val="Linux Libertine G"/>
        <x:family val="2"/>
      </x:rPr>
      <x:t xml:space="preserve">天下地图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外城战区 </x:t>
    </x:r>
    <x:r>
      <x:rPr>
        <x:sz val="900"/>
        <x:color rgb="FF24323D"/>
        <x:rFont val="Hiragino Sans GB"/>
      </x:rPr>
      <x:t xml:space="preserve">+ BattleSession</x:t>
    </x:r>
  </x:si>
  <x:si>
    <x:r>
      <x:rPr>
        <x:sz val="900"/>
        <x:color rgb="FF24323D"/>
        <x:rFont val="Hiragino Sans GB"/>
      </x:rPr>
      <x:t xml:space="preserve">V11 VERIFIED</x:t>
    </x:r>
    <x:r>
      <x:rPr>
        <x:sz val="900"/>
        <x:color rgb="FF24323D"/>
        <x:rFont val="Linux Libertine G"/>
        <x:family val="2"/>
      </x:rPr>
      <x:t xml:space="preserve">；行动命令与资源成本合同冻结。</x:t>
    </x:r>
  </x:si>
  <x:si>
    <x:r>
      <x:rPr>
        <x:sz val="900"/>
        <x:color rgb="FF24323D"/>
        <x:rFont val="Linux Libertine G"/>
        <x:family val="2"/>
      </x:rPr>
      <x:t xml:space="preserve">工程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侦察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伏击工作包、特殊行动结果、存档和反馈。</x:t>
    </x:r>
  </x:si>
  <x:si>
    <x:t xml:space="preserve">不扩成通用脚本引擎、不堆空技能和无结果按钮。</x:t>
  </x:si>
  <x:si>
    <x:t xml:space="preserve">Strategic order facts, route modifiers, intel facts, battle modifiers</x:t>
  </x:si>
  <x:si>
    <x:r>
      <x:rPr>
        <x:sz val="900"/>
        <x:color rgb="FF24323D"/>
        <x:rFont val="Linux Libertine G"/>
        <x:family val="2"/>
      </x:rPr>
      <x:t xml:space="preserve">一次性成本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结果、取消、冲突、存档与回归。</x:t>
    </x:r>
  </x:si>
  <x:si>
    <x:t xml:space="preserve">每种行动都能看到代价、结果和下一决策。</x:t>
  </x:si>
  <x:si>
    <x:t xml:space="preserve">范围、状态写回与玩法价值复查。</x:t>
  </x:si>
  <x:si>
    <x:t xml:space="preserve">特殊行动成为无边界框架或重复状态。</x:t>
  </x:si>
  <x:si>
    <x:r>
      <x:rPr>
        <x:sz val="900"/>
        <x:color rgb="FF24323D"/>
        <x:rFont val="Hiragino Sans GB"/>
      </x:rPr>
      <x:t xml:space="preserve">V11 </x:t>
    </x:r>
    <x:r>
      <x:rPr>
        <x:sz val="900"/>
        <x:color rgb="FF24323D"/>
        <x:rFont val="Linux Libertine G"/>
        <x:family val="2"/>
      </x:rPr>
      <x:t xml:space="preserve">冻结提交。</x:t>
    </x:r>
  </x:si>
  <x:si>
    <x:t xml:space="preserve">任务总表</x:t>
  </x:si>
  <x:si>
    <x:r>
      <x:rPr>
        <x:i/>
        <x:sz val="1000"/>
        <x:color rgb="FF34495E"/>
        <x:rFont val="Linux Libertine G"/>
        <x:family val="2"/>
      </x:rPr>
      <x:t xml:space="preserve">任务粒度为可独立验证结果；普通机械步骤不单列。</x:t>
    </x:r>
    <x:r>
      <x:rPr>
        <x:i/>
        <x:sz val="1000"/>
        <x:color rgb="FF34495E"/>
        <x:rFont val="Hiragino Sans GB"/>
      </x:rPr>
      <x:t xml:space="preserve">V4-P5-T001 </x:t>
    </x:r>
    <x:r>
      <x:rPr>
        <x:i/>
        <x:sz val="1000"/>
        <x:color rgb="FF34495E"/>
        <x:rFont val="Linux Libertine G"/>
        <x:family val="2"/>
      </x:rPr>
      <x:t xml:space="preserve">是当前唯一合法 </x:t>
    </x:r>
    <x:r>
      <x:rPr>
        <x:i/>
        <x:sz val="1000"/>
        <x:color rgb="FF34495E"/>
        <x:rFont val="Hiragino Sans GB"/>
      </x:rPr>
      <x:t xml:space="preserve">READY </x:t>
    </x:r>
    <x:r>
      <x:rPr>
        <x:i/>
        <x:sz val="1000"/>
        <x:color rgb="FF34495E"/>
        <x:rFont val="Linux Libertine G"/>
        <x:family val="2"/>
      </x:rPr>
      <x:t xml:space="preserve">任务，本轮未执行。</x:t>
    </x:r>
  </x:si>
  <x:si>
    <x:t xml:space="preserve">Task ID</x:t>
  </x:si>
  <x:si>
    <x:t xml:space="preserve">Parent ID</x:t>
  </x:si>
  <x:si>
    <x:t xml:space="preserve">Phase</x:t>
  </x:si>
  <x:si>
    <x:t xml:space="preserve">Work Package</x:t>
  </x:si>
  <x:si>
    <x:t xml:space="preserve">Task Name</x:t>
  </x:si>
  <x:si>
    <x:t xml:space="preserve">Task Type</x:t>
  </x:si>
  <x:si>
    <x:t xml:space="preserve">Goal</x:t>
  </x:si>
  <x:si>
    <x:t xml:space="preserve">Background</x:t>
  </x:si>
  <x:si>
    <x:t xml:space="preserve">In Scope</x:t>
  </x:si>
  <x:si>
    <x:t xml:space="preserve">Out of Scope</x:t>
  </x:si>
  <x:si>
    <x:r>
      <x:rPr>
        <x:b/>
        <x:sz val="1000"/>
        <x:color rgb="FFFFFFFF"/>
        <x:rFont val="Hiragino Sans GB"/>
      </x:rPr>
      <x:t xml:space="preserve">Relevant Files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Modules</x:t>
    </x:r>
  </x:si>
  <x:si>
    <x:t xml:space="preserve">Inputs</x:t>
  </x:si>
  <x:si>
    <x:t xml:space="preserve">Expected Output</x:t>
  </x:si>
  <x:si>
    <x:t xml:space="preserve">Dependencies</x:t>
  </x:si>
  <x:si>
    <x:t xml:space="preserve">Entry Criteria</x:t>
  </x:si>
  <x:si>
    <x:t xml:space="preserve">Acceptance Criteria</x:t>
  </x:si>
  <x:si>
    <x:t xml:space="preserve">Validation Method</x:t>
  </x:si>
  <x:si>
    <x:t xml:space="preserve">Test IDs</x:t>
  </x:si>
  <x:si>
    <x:t xml:space="preserve">Test Mapping Status</x:t>
  </x:si>
  <x:si>
    <x:t xml:space="preserve">Rollback Method</x:t>
  </x:si>
  <x:si>
    <x:t xml:space="preserve">Stop Conditions</x:t>
  </x:si>
  <x:si>
    <x:t xml:space="preserve">Implementer</x:t>
  </x:si>
  <x:si>
    <x:t xml:space="preserve">Reviewer</x:t>
  </x:si>
  <x:si>
    <x:t xml:space="preserve">Priority</x:t>
  </x:si>
  <x:si>
    <x:t xml:space="preserve">Risk</x:t>
  </x:si>
  <x:si>
    <x:t xml:space="preserve">Status</x:t>
  </x:si>
  <x:si>
    <x:t xml:space="preserve">Planned Effort</x:t>
  </x:si>
  <x:si>
    <x:t xml:space="preserve">Actual Effort</x:t>
  </x:si>
  <x:si>
    <x:t xml:space="preserve">Start Time</x:t>
  </x:si>
  <x:si>
    <x:t xml:space="preserve">Completion Time</x:t>
  </x:si>
  <x:si>
    <x:t xml:space="preserve">Evidence Link</x:t>
  </x:si>
  <x:si>
    <x:t xml:space="preserve">Review Record ID</x:t>
  </x:si>
  <x:si>
    <x:t xml:space="preserve">Decision Record ID</x:t>
  </x:si>
  <x:si>
    <x:t xml:space="preserve">Progress Denominator Flag</x:t>
  </x:si>
  <x:si>
    <x:t xml:space="preserve">Notes</x:t>
  </x:si>
  <x:si>
    <x:t xml:space="preserve">Gate IDs</x:t>
  </x:si>
  <x:si>
    <x:t xml:space="preserve">V4-P4-T000</x:t>
  </x:si>
  <x:si>
    <x:r>
      <x:rPr>
        <x:sz val="900"/>
        <x:color rgb="FF24323D"/>
        <x:rFont val="Hiragino Sans GB"/>
      </x:rPr>
      <x:t xml:space="preserve">P4 </x:t>
    </x:r>
    <x:r>
      <x:rPr>
        <x:sz val="900"/>
        <x:color rgb="FF24323D"/>
        <x:rFont val="Linux Libertine G"/>
        <x:family val="2"/>
      </x:rPr>
      <x:t xml:space="preserve">当前实现</x:t>
    </x:r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</x:si>
  <x:si>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路线先行派遣与可见行军实现</x:t>
    </x:r>
  </x:si>
  <x:si>
    <x:t xml:space="preserve">Implementation</x:t>
  </x:si>
  <x:si>
    <x:r>
      <x:rPr>
        <x:sz val="900"/>
        <x:color rgb="FF24323D"/>
        <x:rFont val="Linux Libertine G"/>
        <x:family val="2"/>
      </x:rPr>
      <x:t xml:space="preserve">保留当前 </x:t>
    </x:r>
    <x:r>
      <x:rPr>
        <x:sz val="900"/>
        <x:color rgb="FF24323D"/>
        <x:rFont val="Hiragino Sans GB"/>
      </x:rPr>
      <x:t xml:space="preserve">dirty </x:t>
    </x:r>
    <x:r>
      <x:rPr>
        <x:sz val="900"/>
        <x:color rgb="FF24323D"/>
        <x:rFont val="Linux Libertine G"/>
        <x:family val="2"/>
      </x:rPr>
      <x:t xml:space="preserve">三文件所实现的路线选择、比例调遣、驻军守恒、连续行军和到达结算。</x:t>
    </x:r>
  </x:si>
  <x:si>
    <x:r>
      <x:rPr>
        <x:sz val="900"/>
        <x:color rgb="FF24323D"/>
        <x:rFont val="Linux Libertine G"/>
        <x:family val="2"/>
      </x:rPr>
      <x:t xml:space="preserve">实现已存在且 </x:t>
    </x:r>
    <x:r>
      <x:rPr>
        <x:sz val="900"/>
        <x:color rgb="FF24323D"/>
        <x:rFont val="Hiragino Sans GB"/>
      </x:rPr>
      <x:t xml:space="preserve">tracked </x:t>
    </x:r>
    <x:r>
      <x:rPr>
        <x:sz val="900"/>
        <x:color rgb="FF24323D"/>
        <x:rFont val="Linux Libertine G"/>
        <x:family val="2"/>
      </x:rPr>
      <x:t xml:space="preserve">回归通过，但尚未独立复查与用户最终冻结。</x:t>
    </x:r>
  </x:si>
  <x:si>
    <x:t xml:space="preserve">仅作为待复查事实索引；不在本规划轮修改实现。</x:t>
  </x:si>
  <x:si>
    <x:r>
      <x:rPr>
        <x:sz val="900"/>
        <x:color rgb="FF24323D"/>
        <x:rFont val="Linux Libertine G"/>
        <x:family val="2"/>
      </x:rPr>
      <x:t xml:space="preserve">不把实现者总结升级为 </x:t>
    </x:r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</x:si>
  <x:si>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blackstone_expedition_mvp.tscn; blackstone_expedition_mvp.gd; MVP smoke</x:t>
  </x:si>
  <x:si>
    <x:r>
      <x:rPr>
        <x:sz val="900"/>
        <x:color rgb="FF24323D"/>
        <x:rFont val="Linux Libertine G"/>
        <x:family val="2"/>
      </x:rPr>
      <x:t xml:space="preserve">当前 </x:t>
    </x:r>
    <x:r>
      <x:rPr>
        <x:sz val="900"/>
        <x:color rgb="FF24323D"/>
        <x:rFont val="Hiragino Sans GB"/>
      </x:rPr>
      <x:t xml:space="preserve">dirty diff + /tmp backup patch</x:t>
    </x:r>
  </x:si>
  <x:si>
    <x:r>
      <x:rPr>
        <x:sz val="900"/>
        <x:color rgb="FF24323D"/>
        <x:rFont val="Linux Libertine G"/>
        <x:family val="2"/>
      </x:rPr>
      <x:t xml:space="preserve">供 </x:t>
    </x:r>
    <x:r>
      <x:rPr>
        <x:sz val="900"/>
        <x:color rgb="FF24323D"/>
        <x:rFont val="Hiragino Sans GB"/>
      </x:rPr>
      <x:t xml:space="preserve">V4-P5-T001 </x:t>
    </x:r>
    <x:r>
      <x:rPr>
        <x:sz val="900"/>
        <x:color rgb="FF24323D"/>
        <x:rFont val="Linux Libertine G"/>
        <x:family val="2"/>
      </x:rPr>
      <x:t xml:space="preserve">复查的固定 </x:t>
    </x:r>
    <x:r>
      <x:rPr>
        <x:sz val="900"/>
        <x:color rgb="FF24323D"/>
        <x:rFont val="Hiragino Sans GB"/>
      </x:rPr>
      <x:t xml:space="preserve">diff</x:t>
    </x:r>
  </x:si>
  <x:si>
    <x:r>
      <x:rPr>
        <x:sz val="900"/>
        <x:color rgb="FF24323D"/>
        <x:rFont val="Hiragino Sans GB"/>
      </x:rPr>
      <x:t xml:space="preserve">G0 </x:t>
    </x:r>
    <x:r>
      <x:rPr>
        <x:sz val="900"/>
        <x:color rgb="FF24323D"/>
        <x:rFont val="Linux Libertine G"/>
        <x:family val="2"/>
      </x:rPr>
      <x:t xml:space="preserve">基线已锁定</x:t>
    </x:r>
  </x:si>
  <x:si>
    <x:t xml:space="preserve">必须由独立复查和用户实体门决定是否通过。</x:t>
  </x:si>
  <x:si>
    <x:t xml:space="preserve">tracked smoke + independent review + physical mouse</x:t>
  </x:si>
  <x:si>
    <x:t xml:space="preserve">T-V4-001,T-V4-002,T-V4-003</x:t>
  </x:si>
  <x:si>
    <x:t xml:space="preserve">MAPPED</x:t>
  </x:si>
  <x:si>
    <x:r>
      <x:rPr>
        <x:sz val="900"/>
        <x:color rgb="FF24323D"/>
        <x:rFont val="Linux Libertine G"/>
        <x:family val="2"/>
      </x:rPr>
      <x:t xml:space="preserve">冻结前仅对记录的三文件使用哈希校验后的 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：</x:t>
    </x:r>
    <x:r>
      <x:rPr>
        <x:sz val="900"/>
        <x:color rgb="FF24323D"/>
        <x:rFont val="Hiragino Sans GB"/>
      </x:rPr>
      <x:t xml:space="preserve">git apply --reverse --check </x:t>
    </x:r>
    <x:r>
      <x:rPr>
        <x:sz val="900"/>
        <x:color rgb="FF24323D"/>
        <x:rFont val="Linux Libertine G"/>
        <x:family val="2"/>
      </x:rPr>
      <x:t xml:space="preserve">后撤销，</x:t>
    </x:r>
    <x:r>
      <x:rPr>
        <x:sz val="900"/>
        <x:color rgb="FF24323D"/>
        <x:rFont val="Hiragino Sans GB"/>
      </x:rPr>
      <x:t xml:space="preserve">git apply --check </x:t>
    </x:r>
    <x:r>
      <x:rPr>
        <x:sz val="900"/>
        <x:color rgb="FF24323D"/>
        <x:rFont val="Linux Libertine G"/>
        <x:family val="2"/>
      </x:rPr>
      <x:t xml:space="preserve">后恢复；冻结后以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原子提交及其父提交为持久回滚点</x:t>
    </x:r>
  </x:si>
  <x:si>
    <x:r>
      <x:rPr>
        <x:sz val="900"/>
        <x:color rgb="FF24323D"/>
        <x:rFont val="Linux Libertine G"/>
        <x:family val="2"/>
      </x:rPr>
      <x:t xml:space="preserve">发现未知 </x:t>
    </x:r>
    <x:r>
      <x:rPr>
        <x:sz val="900"/>
        <x:color rgb="FF24323D"/>
        <x:rFont val="Hiragino Sans GB"/>
      </x:rPr>
      <x:t xml:space="preserve">dirty</x:t>
    </x:r>
    <x:r>
      <x:rPr>
        <x:sz val="900"/>
        <x:color rgb="FF24323D"/>
        <x:rFont val="Linux Libertine G"/>
        <x:family val="2"/>
      </x:rPr>
      <x:t xml:space="preserve">、状态守恒失败、卡死或受保护文件变化。</x:t>
    </x:r>
  </x:si>
  <x:si>
    <x:t xml:space="preserve">Main Codex</x:t>
  </x:si>
  <x:si>
    <x:t xml:space="preserve">Independent Codex + User</x:t>
  </x:si>
  <x:si>
    <x:t xml:space="preserve">P0</x:t>
  </x:si>
  <x:si>
    <x:t xml:space="preserve">HIGH</x:t>
  </x:si>
  <x:si>
    <x:t xml:space="preserve">L</x:t>
  </x:si>
  <x:si>
    <x:t xml:space="preserve">2026-07-30</x:t>
  </x:si>
  <x:si>
    <x:t xml:space="preserve">docs/reports/TXWZS_V4_MILESTONE_CLOSURE_001.md</x:t>
  </x:si>
  <x:si>
    <x:r>
      <x:rPr>
        <x:sz val="900"/>
        <x:color rgb="FF24323D"/>
        <x:rFont val="Linux Libertine G"/>
        <x:family val="2"/>
      </x:rPr>
      <x:t xml:space="preserve">实现、路线视觉 </x:t>
    </x:r>
    <x:r>
      <x:rPr>
        <x:sz val="900"/>
        <x:color rgb="FF24323D"/>
        <x:rFont val="Hiragino Sans GB"/>
      </x:rPr>
      <x:t xml:space="preserve">Repair 001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Independent Review 002 </x:t>
    </x:r>
    <x:r>
      <x:rPr>
        <x:sz val="900"/>
        <x:color rgb="FF24323D"/>
        <x:rFont val="Linux Libertine G"/>
        <x:family val="2"/>
      </x:rPr>
      <x:t xml:space="preserve">与最终候选综合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均通过；候选三文件哈希未变化。</x:t>
    </x:r>
  </x:si>
  <x:si>
    <x:t xml:space="preserve">V4-G0</x:t>
  </x:si>
  <x:si>
    <x:t xml:space="preserve">V4-P5-T001</x:t>
  </x:si>
  <x:si>
    <x:r>
      <x:rPr>
        <x:sz val="900"/>
        <x:color rgb="FF24323D"/>
        <x:rFont val="Hiragino Sans GB"/>
      </x:rPr>
      <x:t xml:space="preserve">P5 </x:t>
    </x:r>
    <x:r>
      <x:rPr>
        <x:sz val="900"/>
        <x:color rgb="FF24323D"/>
        <x:rFont val="Linux Libertine G"/>
        <x:family val="2"/>
      </x:rPr>
      <x:t xml:space="preserve">独立复查</x:t>
    </x:r>
  </x:si>
  <x:si>
    <x:r>
      <x:rPr>
        <x:sz val="900"/>
        <x:color rgb="FF24323D"/>
        <x:rFont val="Linux Libertine G"/>
        <x:family val="2"/>
      </x:rPr>
      <x:t xml:space="preserve">独立复查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派遣主链路</x:t>
    </x:r>
  </x:si>
  <x:si>
    <x:t xml:space="preserve">Review</x:t>
  </x:si>
  <x:si>
    <x:r>
      <x:rPr>
        <x:sz val="900"/>
        <x:color rgb="FF24323D"/>
        <x:rFont val="Linux Libertine G"/>
        <x:family val="2"/>
      </x:rPr>
      <x:t xml:space="preserve">确认 </x:t>
    </x:r>
    <x:r>
      <x:rPr>
        <x:sz val="900"/>
        <x:color rgb="FF24323D"/>
        <x:rFont val="Hiragino Sans GB"/>
      </x:rPr>
      <x:t xml:space="preserve">dirty V4 </x:t>
    </x:r>
    <x:r>
      <x:rPr>
        <x:sz val="900"/>
        <x:color rgb="FF24323D"/>
        <x:rFont val="Linux Libertine G"/>
        <x:family val="2"/>
      </x:rPr>
      <x:t xml:space="preserve">是否满足输入、驻军守恒、行军与一次性结算合同。</x:t>
    </x:r>
  </x:si>
  <x:si>
    <x:r>
      <x:rPr>
        <x:sz val="900"/>
        <x:color rgb="FF24323D"/>
        <x:rFont val="Linux Libertine G"/>
        <x:family val="2"/>
      </x:rPr>
      <x:t xml:space="preserve">当前三文件 </x:t>
    </x:r>
    <x:r>
      <x:rPr>
        <x:sz val="900"/>
        <x:color rgb="FF24323D"/>
        <x:rFont val="Hiragino Sans GB"/>
      </x:rPr>
      <x:t xml:space="preserve">dirty </x:t>
    </x:r>
    <x:r>
      <x:rPr>
        <x:sz val="900"/>
        <x:color rgb="FF24323D"/>
        <x:rFont val="Linux Libertine G"/>
        <x:family val="2"/>
      </x:rPr>
      <x:t xml:space="preserve">且已通过 </x:t>
    </x:r>
    <x:r>
      <x:rPr>
        <x:sz val="900"/>
        <x:color rgb="FF24323D"/>
        <x:rFont val="Hiragino Sans GB"/>
      </x:rPr>
      <x:t xml:space="preserve">tracked smoke</x:t>
    </x:r>
    <x:r>
      <x:rPr>
        <x:sz val="900"/>
        <x:color rgb="FF24323D"/>
        <x:rFont val="Linux Libertine G"/>
        <x:family val="2"/>
      </x:rPr>
      <x:t xml:space="preserve">，但尚未独立冻结。</x:t>
    </x:r>
  </x:si>
  <x:si>
    <x:r>
      <x:rPr>
        <x:sz val="900"/>
        <x:color rgb="FF24323D"/>
        <x:rFont val="Linux Libertine G"/>
        <x:family val="2"/>
      </x:rPr>
      <x:t xml:space="preserve">完整 </x:t>
    </x:r>
    <x:r>
      <x:rPr>
        <x:sz val="900"/>
        <x:color rgb="FF24323D"/>
        <x:rFont val="Hiragino Sans GB"/>
      </x:rPr>
      <x:t xml:space="preserve">diff</x:t>
    </x:r>
    <x:r>
      <x:rPr>
        <x:sz val="900"/>
        <x:color rgb="FF24323D"/>
        <x:rFont val="Linux Libertine G"/>
        <x:family val="2"/>
      </x:rPr>
      <x:t xml:space="preserve">、真实窗口路径、</x:t>
    </x:r>
    <x:r>
      <x:rPr>
        <x:sz val="900"/>
        <x:color rgb="FF24323D"/>
        <x:rFont val="Hiragino Sans GB"/>
      </x:rPr>
      <x:t xml:space="preserve">V4 smoke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保护哈希。</x:t>
    </x:r>
  </x:si>
  <x:si>
    <x:r>
      <x:rPr>
        <x:sz val="900"/>
        <x:color rgb="FF24323D"/>
        <x:rFont val="Linux Libertine G"/>
        <x:family val="2"/>
      </x:rPr>
      <x:t xml:space="preserve">不修功能、不扩多军队、不提交 </x:t>
    </x:r>
    <x:r>
      <x:rPr>
        <x:sz val="900"/>
        <x:color rgb="FF24323D"/>
        <x:rFont val="Hiragino Sans GB"/>
      </x:rPr>
      <x:t xml:space="preserve">S1A.2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</x:si>
  <x:si>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当前 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27/27 </x:t>
    </x:r>
    <x:r>
      <x:rPr>
        <x:sz val="900"/>
        <x:color rgb="FF24323D"/>
        <x:rFont val="Linux Libertine G"/>
        <x:family val="2"/>
      </x:rPr>
      <x:t xml:space="preserve">回归、用户实体反馈</x:t>
    </x:r>
  </x:si>
  <x:si>
    <x:r>
      <x:rPr>
        <x:sz val="900"/>
        <x:color rgb="FF24323D"/>
        <x:rFont val="Linux Libertine G"/>
        <x:family val="2"/>
      </x:rPr>
      <x:t xml:space="preserve">独立 </x:t>
    </x:r>
    <x:r>
      <x:rPr>
        <x:sz val="900"/>
        <x:color rgb="FF24323D"/>
        <x:rFont val="Hiragino Sans GB"/>
      </x:rPr>
      <x:t xml:space="preserve">review verdict </x:t>
    </x:r>
    <x:r>
      <x:rPr>
        <x:sz val="900"/>
        <x:color rgb="FF24323D"/>
        <x:rFont val="Linux Libertine G"/>
        <x:family val="2"/>
      </x:rPr>
      <x:t xml:space="preserve">与修复清单或接受证据</x:t>
    </x:r>
  </x:si>
  <x:si>
    <x:r>
      <x:rPr>
        <x:sz val="900"/>
        <x:color rgb="FF24323D"/>
        <x:rFont val="Hiragino Sans GB"/>
      </x:rPr>
      <x:t xml:space="preserve">RVW-PLAN-003=USER_ACCEPTED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V4-G0=VERIFIED</x:t>
    </x:r>
  </x:si>
  <x:si>
    <x:r>
      <x:rPr>
        <x:sz val="900"/>
        <x:color rgb="FF24323D"/>
        <x:rFont val="Linux Libertine G"/>
        <x:family val="2"/>
      </x:rPr>
      <x:t xml:space="preserve">无阻断发现，或修复后复查通过；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哈希不变。</x:t>
    </x:r>
  </x:si>
  <x:si>
    <x:r>
      <x:rPr>
        <x:sz val="900"/>
        <x:color rgb="FF24323D"/>
        <x:rFont val="Linux Libertine G"/>
        <x:family val="2"/>
      </x:rPr>
      <x:t xml:space="preserve">独立复查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真实窗口复测</x:t>
    </x:r>
  </x:si>
  <x:si>
    <x:t xml:space="preserve">T-V4-001,T-V4-002,T-REG-001</x:t>
  </x:si>
  <x:si>
    <x:r>
      <x:rPr>
        <x:sz val="900"/>
        <x:color rgb="FF24323D"/>
        <x:rFont val="Linux Libertine G"/>
        <x:family val="2"/>
      </x:rPr>
      <x:t xml:space="preserve">冻结前：只对已记录的三文件运行 </x:t>
    </x:r>
    <x:r>
      <x:rPr>
        <x:sz val="900"/>
        <x:color rgb="FF24323D"/>
        <x:rFont val="Hiragino Sans GB"/>
      </x:rPr>
      <x:t xml:space="preserve">git apply --reverse --check </x:t>
    </x:r>
    <x:r>
      <x:rPr>
        <x:sz val="900"/>
        <x:color rgb="FF24323D"/>
        <x:rFont val="Linux Libertine G"/>
        <x:family val="2"/>
      </x:rPr>
      <x:t xml:space="preserve">后反向应用 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；丢失时以 </x:t>
    </x:r>
    <x:r>
      <x:rPr>
        <x:sz val="900"/>
        <x:color rgb="FF24323D"/>
        <x:rFont val="Hiragino Sans GB"/>
      </x:rPr>
      <x:t xml:space="preserve">git apply --check </x:t>
    </x:r>
    <x:r>
      <x:rPr>
        <x:sz val="900"/>
        <x:color rgb="FF24323D"/>
        <x:rFont val="Linux Libertine G"/>
        <x:family val="2"/>
      </x:rPr>
      <x:t xml:space="preserve">后恢复，并校验 </x:t>
    </x:r>
    <x:r>
      <x:rPr>
        <x:sz val="900"/>
        <x:color rgb="FF24323D"/>
        <x:rFont val="Hiragino Sans GB"/>
      </x:rPr>
      <x:t xml:space="preserve">patch SHA-256</x:t>
    </x:r>
    <x:r>
      <x:rPr>
        <x:sz val="900"/>
        <x:color rgb="FF24323D"/>
        <x:rFont val="Linux Libertine G"/>
        <x:family val="2"/>
      </x:rPr>
      <x:t xml:space="preserve">；冻结后：回到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原子提交的父提交（不改写历史）</x:t>
    </x:r>
  </x:si>
  <x:si>
    <x:r>
      <x:rPr>
        <x:sz val="900"/>
        <x:color rgb="FF24323D"/>
        <x:rFont val="Linux Libertine G"/>
        <x:family val="2"/>
      </x:rPr>
      <x:t xml:space="preserve">发现重复扣兵、卡死、状态复制、未知 </x:t>
    </x:r>
    <x:r>
      <x:rPr>
        <x:sz val="900"/>
        <x:color rgb="FF24323D"/>
        <x:rFont val="Hiragino Sans GB"/>
      </x:rPr>
      <x:t xml:space="preserve">dirty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</x:si>
  <x:si>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Independent Codex</x:t>
  </x:si>
  <x:si>
    <x:t xml:space="preserve">M</x:t>
  </x:si>
  <x:si>
    <x:t xml:space="preserve">2026-07-29</x:t>
  </x:si>
  <x:si>
    <x:t xml:space="preserve">docs/reviews/TXWZS_V4_P5_T001_INDEPENDENT_REVIEW_002.md</x:t>
  </x:si>
  <x:si>
    <x:t xml:space="preserve">RVW-V4-P5-002</x:t>
  </x:si>
  <x:si>
    <x:r>
      <x:rPr>
        <x:sz val="900"/>
        <x:color rgb="FF24323D"/>
        <x:rFont val="Linux Libertine G"/>
        <x:family val="2"/>
      </x:rPr>
      <x:t xml:space="preserve">修复后独立复审关闭此前三个 </x:t>
    </x:r>
    <x:r>
      <x:rPr>
        <x:sz val="900"/>
        <x:color rgb="FF24323D"/>
        <x:rFont val="Hiragino Sans GB"/>
      </x:rPr>
      <x:t xml:space="preserve">IMPORTANT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126 </x:t>
    </x:r>
    <x:r>
      <x:rPr>
        <x:sz val="900"/>
        <x:color rgb="FF24323D"/>
        <x:rFont val="Linux Libertine G"/>
        <x:family val="2"/>
      </x:rPr>
      <x:t xml:space="preserve">条专项断言、</x:t>
    </x:r>
    <x:r>
      <x:rPr>
        <x:sz val="900"/>
        <x:color rgb="FF24323D"/>
        <x:rFont val="Hiragino Sans GB"/>
      </x:rPr>
      <x:t xml:space="preserve">27/27 tracked runner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1490 </x:t>
    </x:r>
    <x:r>
      <x:rPr>
        <x:sz val="900"/>
        <x:color rgb="FF24323D"/>
        <x:rFont val="Linux Libertine G"/>
        <x:family val="2"/>
      </x:rPr>
      <x:t xml:space="preserve">条明确断言、正式窗口路径和结束保护通过。只释放 </x:t>
    </x:r>
    <x:r>
      <x:rPr>
        <x:sz val="900"/>
        <x:color rgb="FF24323D"/>
        <x:rFont val="Hiragino Sans GB"/>
      </x:rPr>
      <x:t xml:space="preserve">V4-P6-T001 </x:t>
    </x:r>
    <x:r>
      <x:rPr>
        <x:sz val="900"/>
        <x:color rgb="FF24323D"/>
        <x:rFont val="Linux Libertine G"/>
        <x:family val="2"/>
      </x:rPr>
      <x:t xml:space="preserve">用户实体试玩；不代表 </x:t>
    </x:r>
    <x:r>
      <x:rPr>
        <x:sz val="900"/>
        <x:color rgb="FF24323D"/>
        <x:rFont val="Hiragino Sans GB"/>
      </x:rPr>
      <x:t xml:space="preserve">T-V4-003 </x:t>
    </x:r>
    <x:r>
      <x:rPr>
        <x:sz val="900"/>
        <x:color rgb="FF24323D"/>
        <x:rFont val="Linux Libertine G"/>
        <x:family val="2"/>
      </x:rPr>
      <x:t xml:space="preserve">通过，不冻结 </x:t>
    </x:r>
    <x:r>
      <x:rPr>
        <x:sz val="900"/>
        <x:color rgb="FF24323D"/>
        <x:rFont val="Hiragino Sans GB"/>
      </x:rPr>
      <x:t xml:space="preserve">V4</x:t>
    </x:r>
    <x:r>
      <x:rPr>
        <x:sz val="900"/>
        <x:color rgb="FF24323D"/>
        <x:rFont val="Linux Libertine G"/>
        <x:family val="2"/>
      </x:rPr>
      <x:t xml:space="preserve">，不启动 </x:t>
    </x:r>
    <x:r>
      <x:rPr>
        <x:sz val="900"/>
        <x:color rgb="FF24323D"/>
        <x:rFont val="Hiragino Sans GB"/>
      </x:rPr>
      <x:t xml:space="preserve">V5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</x:si>
  <x:si>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V4-G1,V4-G2,V4-G3,V4-G4,V4-G5</x:t>
  </x:si>
  <x:si>
    <x:t xml:space="preserve">V4-P6-T001</x:t>
  </x:si>
  <x:si>
    <x:r>
      <x:rPr>
        <x:sz val="900"/>
        <x:color rgb="FF24323D"/>
        <x:rFont val="Hiragino Sans GB"/>
      </x:rPr>
      <x:t xml:space="preserve">P6 </x:t>
    </x:r>
    <x:r>
      <x:rPr>
        <x:sz val="900"/>
        <x:color rgb="FF24323D"/>
        <x:rFont val="Linux Libertine G"/>
        <x:family val="2"/>
      </x:rPr>
      <x:t xml:space="preserve">实体门</x:t>
    </x:r>
  </x:si>
  <x:si>
    <x:r>
      <x:rPr>
        <x:sz val="900"/>
        <x:color rgb="FF24323D"/>
        <x:rFont val="Linux Libertine G"/>
        <x:family val="2"/>
      </x:rPr>
      <x:t xml:space="preserve">完成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用户实体路径复测</x:t>
    </x:r>
  </x:si>
  <x:si>
    <x:t xml:space="preserve">Manual Gate</x:t>
  </x:si>
  <x:si>
    <x:t xml:space="preserve">用户用实体鼠标验证取消、部分派兵、支援、失败、援军胜利与重试。</x:t>
  </x:si>
  <x:si>
    <x:t xml:space="preserve">自动测试不能代替手感与可读性。</x:t>
  </x:si>
  <x:si>
    <x:r>
      <x:rPr>
        <x:sz val="900"/>
        <x:color rgb="FF24323D"/>
        <x:rFont val="Linux Libertine G"/>
        <x:family val="2"/>
      </x:rPr>
      <x:t xml:space="preserve">单一标准入口、当前 </x:t>
    </x:r>
    <x:r>
      <x:rPr>
        <x:sz val="900"/>
        <x:color rgb="FF24323D"/>
        <x:rFont val="Hiragino Sans GB"/>
      </x:rPr>
      <x:t xml:space="preserve">commit/dirty </x:t>
    </x:r>
    <x:r>
      <x:rPr>
        <x:sz val="900"/>
        <x:color rgb="FF24323D"/>
        <x:rFont val="Linux Libertine G"/>
        <x:family val="2"/>
      </x:rPr>
      <x:t xml:space="preserve">标识、真实截图和结果。</x:t>
    </x:r>
  </x:si>
  <x:si>
    <x:t xml:space="preserve">不扩功能、不调整平衡。</x:t>
  </x:si>
  <x:si>
    <x:t xml:space="preserve">RUN_CURRENT_TXWZS.command; blackstone expedition scene</x:t>
  </x:si>
  <x:si>
    <x:t xml:space="preserve">V4-G5 = VERIFIED</x:t>
  </x:si>
  <x:si>
    <x:t xml:space="preserve">用户验收记录</x:t>
  </x:si>
  <x:si>
    <x:r>
      <x:rPr>
        <x:sz val="900"/>
        <x:color rgb="FF24323D"/>
        <x:rFont val="Hiragino Sans GB"/>
      </x:rPr>
      <x:t xml:space="preserve">V4-G5 = 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V4-P5-T001 </x:t>
    </x:r>
    <x:r>
      <x:rPr>
        <x:sz val="900"/>
        <x:color rgb="FF24323D"/>
        <x:rFont val="Linux Libertine G"/>
        <x:family val="2"/>
      </x:rPr>
      <x:t xml:space="preserve">已解除 </x:t>
    </x:r>
    <x:r>
      <x:rPr>
        <x:sz val="900"/>
        <x:color rgb="FF24323D"/>
        <x:rFont val="Hiragino Sans GB"/>
      </x:rPr>
      <x:t xml:space="preserve">HOLD</x:t>
    </x:r>
  </x:si>
  <x:si>
    <x:r>
      <x:rPr>
        <x:sz val="900"/>
        <x:color rgb="FF24323D"/>
        <x:rFont val="Hiragino Sans GB"/>
      </x:rPr>
      <x:t xml:space="preserve">V4-G5 </x:t>
    </x:r>
    <x:r>
      <x:rPr>
        <x:sz val="900"/>
        <x:color rgb="FF24323D"/>
        <x:rFont val="Linux Libertine G"/>
        <x:family val="2"/>
      </x:rPr>
      <x:t xml:space="preserve">已验证后，用户明确接受主链路，不存在阻断级交互。</x:t>
    </x:r>
  </x:si>
  <x:si>
    <x:t xml:space="preserve">实体窗口</x:t>
  </x:si>
  <x:si>
    <x:t xml:space="preserve">T-V4-003</x:t>
  </x:si>
  <x:si>
    <x:r>
      <x:rPr>
        <x:sz val="900"/>
        <x:color rgb="FF24323D"/>
        <x:rFont val="Linux Libertine G"/>
        <x:family val="2"/>
      </x:rPr>
      <x:t xml:space="preserve">保留 </x:t>
    </x:r>
    <x:r>
      <x:rPr>
        <x:sz val="900"/>
        <x:color rgb="FF24323D"/>
        <x:rFont val="Hiragino Sans GB"/>
      </x:rPr>
      <x:t xml:space="preserve">review </x:t>
    </x:r>
    <x:r>
      <x:rPr>
        <x:sz val="900"/>
        <x:color rgb="FF24323D"/>
        <x:rFont val="Linux Libertine G"/>
        <x:family val="2"/>
      </x:rPr>
      <x:t xml:space="preserve">前 </x:t>
    </x:r>
    <x:r>
      <x:rPr>
        <x:sz val="900"/>
        <x:color rgb="FF24323D"/>
        <x:rFont val="Hiragino Sans GB"/>
      </x:rPr>
      <x:t xml:space="preserve">patch</x:t>
    </x:r>
  </x:si>
  <x:si>
    <x:t xml:space="preserve">用户反馈阻断或版本身份不明。</x:t>
  </x:si>
  <x:si>
    <x:t xml:space="preserve">User</x:t>
  </x:si>
  <x:si>
    <x:r>
      <x:rPr>
        <x:sz val="900"/>
        <x:color rgb="FF24323D"/>
        <x:rFont val="Linux Libertine G"/>
        <x:family val="2"/>
      </x:rPr>
      <x:t xml:space="preserve">用户明确接受 </x:t>
    </x:r>
    <x:r>
      <x:rPr>
        <x:sz val="900"/>
        <x:color rgb="FF24323D"/>
        <x:rFont val="Hiragino Sans GB"/>
      </x:rPr>
      <x:t xml:space="preserve">Review 002 </x:t>
    </x:r>
    <x:r>
      <x:rPr>
        <x:sz val="900"/>
        <x:color rgb="FF24323D"/>
        <x:rFont val="Linux Libertine G"/>
        <x:family val="2"/>
      </x:rPr>
      <x:t xml:space="preserve">并授权按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整体里程碑完成最终 </x:t>
    </x:r>
    <x:r>
      <x:rPr>
        <x:sz val="900"/>
        <x:color rgb="FF24323D"/>
        <x:rFont val="Hiragino Sans GB"/>
      </x:rPr>
      <x:t xml:space="preserve">Gate</x:t>
    </x:r>
    <x:r>
      <x:rPr>
        <x:sz val="900"/>
        <x:color rgb="FF24323D"/>
        <x:rFont val="Linux Libertine G"/>
        <x:family val="2"/>
      </x:rPr>
      <x:t xml:space="preserve">；正式入口身份与八态 </x:t>
    </x:r>
    <x:r>
      <x:rPr>
        <x:sz val="900"/>
        <x:color rgb="FF24323D"/>
        <x:rFont val="Hiragino Sans GB"/>
      </x:rPr>
      <x:t xml:space="preserve">1152×648 </x:t>
    </x:r>
    <x:r>
      <x:rPr>
        <x:sz val="900"/>
        <x:color rgb="FF24323D"/>
        <x:rFont val="Linux Libertine G"/>
        <x:family val="2"/>
      </x:rPr>
      <x:t xml:space="preserve">运行证据通过。</x:t>
    </x:r>
  </x:si>
  <x:si>
    <x:t xml:space="preserve">V4-G6</x:t>
  </x:si>
  <x:si>
    <x:t xml:space="preserve">V4-P6-T002</x:t>
  </x:si>
  <x:si>
    <x:r>
      <x:rPr>
        <x:sz val="900"/>
        <x:color rgb="FF24323D"/>
        <x:rFont val="Hiragino Sans GB"/>
      </x:rPr>
      <x:t xml:space="preserve">P6 </x:t>
    </x:r>
    <x:r>
      <x:rPr>
        <x:sz val="900"/>
        <x:color rgb="FF24323D"/>
        <x:rFont val="Linux Libertine G"/>
        <x:family val="2"/>
      </x:rPr>
      <x:t xml:space="preserve">冻结</x:t>
    </x:r>
  </x:si>
  <x:si>
    <x:r>
      <x:rPr>
        <x:sz val="900"/>
        <x:color rgb="FF24323D"/>
        <x:rFont val="Linux Libertine G"/>
        <x:family val="2"/>
      </x:rPr>
      <x:t xml:space="preserve">形成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可回滚原子基线</x:t>
    </x:r>
  </x:si>
  <x:si>
    <x:t xml:space="preserve">Closeout</x:t>
  </x:si>
  <x:si>
    <x:r>
      <x:rPr>
        <x:sz val="900"/>
        <x:color rgb="FF24323D"/>
        <x:rFont val="Linux Libertine G"/>
        <x:family val="2"/>
      </x:rPr>
      <x:t xml:space="preserve">仅提交已验收的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三文件和必要状态文档。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</x:si>
  <x:si>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不能在大 </x:t>
    </x:r>
    <x:r>
      <x:rPr>
        <x:sz val="900"/>
        <x:color rgb="FF24323D"/>
        <x:rFont val="Hiragino Sans GB"/>
      </x:rPr>
      <x:t xml:space="preserve">dirty diff </x:t>
    </x:r>
    <x:r>
      <x:rPr>
        <x:sz val="900"/>
        <x:color rgb="FF24323D"/>
        <x:rFont val="Linux Libertine G"/>
        <x:family val="2"/>
      </x:rPr>
      <x:t xml:space="preserve">上开工。</x:t>
    </x:r>
  </x:si>
  <x:si>
    <x:r>
      <x:rPr>
        <x:sz val="900"/>
        <x:color rgb="FF24323D"/>
        <x:rFont val="Hiragino Sans GB"/>
      </x:rPr>
      <x:t xml:space="preserve">diff </x:t>
    </x:r>
    <x:r>
      <x:rPr>
        <x:sz val="900"/>
        <x:color rgb="FF24323D"/>
        <x:rFont val="Linux Libertine G"/>
        <x:family val="2"/>
      </x:rPr>
      <x:t xml:space="preserve">审查、原子提交、</x:t>
    </x:r>
    <x:r>
      <x:rPr>
        <x:sz val="900"/>
        <x:color rgb="FF24323D"/>
        <x:rFont val="Hiragino Sans GB"/>
      </x:rPr>
      <x:t xml:space="preserve">clean </x:t>
    </x:r>
    <x:r>
      <x:rPr>
        <x:sz val="900"/>
        <x:color rgb="FF24323D"/>
        <x:rFont val="Linux Libertine G"/>
        <x:family val="2"/>
      </x:rPr>
      <x:t xml:space="preserve">状态、保护文件排除。</x:t>
    </x:r>
  </x:si>
  <x:si>
    <x:r>
      <x:rPr>
        <x:sz val="900"/>
        <x:color rgb="FF24323D"/>
        <x:rFont val="Linux Libertine G"/>
        <x:family val="2"/>
      </x:rPr>
      <x:t xml:space="preserve">不 </x:t>
    </x:r>
    <x:r>
      <x:rPr>
        <x:sz val="900"/>
        <x:color rgb="FF24323D"/>
        <x:rFont val="Hiragino Sans GB"/>
      </x:rPr>
      <x:t xml:space="preserve">push</x:t>
    </x:r>
    <x:r>
      <x:rPr>
        <x:sz val="900"/>
        <x:color rgb="FF24323D"/>
        <x:rFont val="Linux Libertine G"/>
        <x:family val="2"/>
      </x:rPr>
      <x:t xml:space="preserve">；不提交 </x:t>
    </x:r>
    <x:r>
      <x:rPr>
        <x:sz val="900"/>
        <x:color rgb="FF24323D"/>
        <x:rFont val="Hiragino Sans GB"/>
      </x:rPr>
      <x:t xml:space="preserve">S1A.2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</x:si>
  <x:si>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V4 files; CURRENT_STATE if authorized</x:t>
  </x:si>
  <x:si>
    <x:t xml:space="preserve">用户验收</x:t>
  </x:si>
  <x:si>
    <x:t xml:space="preserve">V4 freeze commit</x:t>
  </x:si>
  <x:si>
    <x:r>
      <x:rPr>
        <x:sz val="900"/>
        <x:color rgb="FF24323D"/>
        <x:rFont val="Hiragino Sans GB"/>
      </x:rPr>
      <x:t xml:space="preserve">V4-G5 = 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V4-P6-T001 </x:t>
    </x:r>
    <x:r>
      <x:rPr>
        <x:sz val="900"/>
        <x:color rgb="FF24323D"/>
        <x:rFont val="Linux Libertine G"/>
        <x:family val="2"/>
      </x:rPr>
      <x:t xml:space="preserve">用户实体复测通过</x:t>
    </x:r>
  </x:si>
  <x:si>
    <x:r>
      <x:rPr>
        <x:sz val="900"/>
        <x:color rgb="FF24323D"/>
        <x:rFont val="Linux Libertine G"/>
        <x:family val="2"/>
      </x:rPr>
      <x:t xml:space="preserve">提交范围准确、工作区除受保护 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外无 </x:t>
    </x:r>
    <x:r>
      <x:rPr>
        <x:sz val="900"/>
        <x:color rgb="FF24323D"/>
        <x:rFont val="Hiragino Sans GB"/>
      </x:rPr>
      <x:t xml:space="preserve">V4 dirty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</x:si>
  <x:si>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git show/diff/check/status</x:t>
  </x:si>
  <x:si>
    <x:t xml:space="preserve">T-GIT-001</x:t>
  </x:si>
  <x:si>
    <x:r>
      <x:rPr>
        <x:sz val="900"/>
        <x:color rgb="FF24323D"/>
        <x:rFont val="Linux Libertine G"/>
        <x:family val="2"/>
      </x:rPr>
      <x:t xml:space="preserve">回退到前一 </x:t>
    </x:r>
    <x:r>
      <x:rPr>
        <x:sz val="900"/>
        <x:color rgb="FF24323D"/>
        <x:rFont val="Hiragino Sans GB"/>
      </x:rPr>
      <x:t xml:space="preserve">commit</x:t>
    </x:r>
    <x:r>
      <x:rPr>
        <x:sz val="900"/>
        <x:color rgb="FF24323D"/>
        <x:rFont val="Linux Libertine G"/>
        <x:family val="2"/>
      </x:rPr>
      <x:t xml:space="preserve">（不改写历史）</x:t>
    </x:r>
  </x:si>
  <x:si>
    <x:t xml:space="preserve">无法精确区分文件或出现未知修改。</x:t>
  </x:si>
  <x:si>
    <x:t xml:space="preserve">Independent Codex spot-check</x:t>
  </x:si>
  <x:si>
    <x:t xml:space="preserve">MEDIUM</x:t>
  </x:si>
  <x:si>
    <x:r>
      <x:rPr>
        <x:sz val="900"/>
        <x:color rgb="FF24323D"/>
        <x:rFont val="Hiragino Sans GB"/>
      </x:rPr>
      <x:t xml:space="preserve">V4/C0/</x:t>
    </x:r>
    <x:r>
      <x:rPr>
        <x:sz val="900"/>
        <x:color rgb="FF24323D"/>
        <x:rFont val="Linux Libertine G"/>
        <x:family val="2"/>
      </x:rPr>
      <x:t xml:space="preserve">规划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报告形成单一可回滚本地 </x:t>
    </x:r>
    <x:r>
      <x:rPr>
        <x:sz val="900"/>
        <x:color rgb="FF24323D"/>
        <x:rFont val="Hiragino Sans GB"/>
      </x:rPr>
      <x:t xml:space="preserve">checkpoint</x:t>
    </x:r>
    <x:r>
      <x:rPr>
        <x:sz val="900"/>
        <x:color rgb="FF24323D"/>
        <x:rFont val="Linux Libertine G"/>
        <x:family val="2"/>
      </x:rPr>
      <x:t xml:space="preserve">；保护的 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八文件排除；不 </x:t>
    </x:r>
    <x:r>
      <x:rPr>
        <x:sz val="900"/>
        <x:color rgb="FF24323D"/>
        <x:rFont val="Hiragino Sans GB"/>
      </x:rPr>
      <x:t xml:space="preserve">push</x:t>
    </x:r>
    <x:r>
      <x:rPr>
        <x:sz val="900"/>
        <x:color rgb="FF24323D"/>
        <x:rFont val="Linux Libertine G"/>
        <x:family val="2"/>
      </x:rPr>
      <x:t xml:space="preserve">、不部署。</x:t>
    </x:r>
  </x:si>
  <x:si>
    <x:t xml:space="preserve">PLAN-REPAIR-002</x:t>
  </x:si>
  <x:si>
    <x:t xml:space="preserve">PLAN</x:t>
  </x:si>
  <x:si>
    <x:t xml:space="preserve">规划控制修复</x:t>
  </x:si>
  <x:si>
    <x:r>
      <x:rPr>
        <x:sz val="900"/>
        <x:color rgb="FF24323D"/>
        <x:rFont val="Linux Libertine G"/>
        <x:family val="2"/>
      </x:rPr>
      <x:t xml:space="preserve">修复 </x:t>
    </x:r>
    <x:r>
      <x:rPr>
        <x:sz val="900"/>
        <x:color rgb="FF24323D"/>
        <x:rFont val="Hiragino Sans GB"/>
      </x:rPr>
      <x:t xml:space="preserve">Gate</x:t>
    </x:r>
    <x:r>
      <x:rPr>
        <x:sz val="900"/>
        <x:color rgb="FF24323D"/>
        <x:rFont val="Linux Libertine G"/>
        <x:family val="2"/>
      </x:rPr>
      <x:t xml:space="preserve">、映射、字体与复查绑定</x:t>
    </x:r>
  </x:si>
  <x:si>
    <x:t xml:space="preserve">Planning</x:t>
  </x:si>
  <x:si>
    <x:r>
      <x:rPr>
        <x:sz val="900"/>
        <x:color rgb="FF24323D"/>
        <x:rFont val="Linux Libertine G"/>
        <x:family val="2"/>
      </x:rPr>
      <x:t xml:space="preserve">让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只引用真实 </x:t>
    </x:r>
    <x:r>
      <x:rPr>
        <x:sz val="900"/>
        <x:color rgb="FF24323D"/>
        <x:rFont val="Hiragino Sans GB"/>
      </x:rPr>
      <x:t xml:space="preserve">Task/Test ID</x:t>
    </x:r>
    <x:r>
      <x:rPr>
        <x:sz val="900"/>
        <x:color rgb="FF24323D"/>
        <x:rFont val="Linux Libertine G"/>
        <x:family val="2"/>
      </x:rPr>
      <x:t xml:space="preserve">，消除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冻结循环，并统一中文字体。</x:t>
    </x:r>
  </x:si>
  <x:si>
    <x:r>
      <x:rPr>
        <x:sz val="900"/>
        <x:color rgb="FF24323D"/>
        <x:rFont val="Hiragino Sans GB"/>
      </x:rPr>
      <x:t xml:space="preserve">ChatGPT </x:t>
    </x:r>
    <x:r>
      <x:rPr>
        <x:sz val="900"/>
        <x:color rgb="FF24323D"/>
        <x:rFont val="Linux Libertine G"/>
        <x:family val="2"/>
      </x:rPr>
      <x:t xml:space="preserve">对 </x:t>
    </x:r>
    <x:r>
      <x:rPr>
        <x:sz val="900"/>
        <x:color rgb="FF24323D"/>
        <x:rFont val="Hiragino Sans GB"/>
      </x:rPr>
      <x:t xml:space="preserve">PLAN-REPAIR-001 </x:t>
    </x:r>
    <x:r>
      <x:rPr>
        <x:sz val="900"/>
        <x:color rgb="FF24323D"/>
        <x:rFont val="Linux Libertine G"/>
        <x:family val="2"/>
      </x:rPr>
      <x:t xml:space="preserve">的附件复核发现五项控制缺口。</x:t>
    </x:r>
  </x:si>
  <x:si>
    <x:r>
      <x:rPr>
        <x:sz val="900"/>
        <x:color rgb="FF24323D"/>
        <x:rFont val="Linux Libertine G"/>
        <x:family val="2"/>
      </x:rPr>
      <x:t xml:space="preserve">工作簿、</x:t>
    </x:r>
    <x:r>
      <x:rPr>
        <x:sz val="900"/>
        <x:color rgb="FF24323D"/>
        <x:rFont val="Hiragino Sans GB"/>
      </x:rPr>
      <x:t xml:space="preserve">Markdown</x:t>
    </x:r>
    <x:r>
      <x:rPr>
        <x:sz val="900"/>
        <x:color rgb="FF24323D"/>
        <x:rFont val="Linux Libertine G"/>
        <x:family val="2"/>
      </x:rPr>
      <x:t xml:space="preserve">、五份 </x:t>
    </x:r>
    <x:r>
      <x:rPr>
        <x:sz val="900"/>
        <x:color rgb="FF24323D"/>
        <x:rFont val="Hiragino Sans GB"/>
      </x:rPr>
      <x:t xml:space="preserve">CSV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ZIP </x:t>
    </x:r>
    <x:r>
      <x:rPr>
        <x:sz val="900"/>
        <x:color rgb="FF24323D"/>
        <x:rFont val="Linux Libertine G"/>
        <x:family val="2"/>
      </x:rPr>
      <x:t xml:space="preserve">与 </x:t>
    </x:r>
    <x:r>
      <x:rPr>
        <x:sz val="900"/>
        <x:color rgb="FF24323D"/>
        <x:rFont val="Hiragino Sans GB"/>
      </x:rPr>
      <x:t xml:space="preserve">REVIEW_003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</x:si>
  <x:si>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不执行 </x:t>
    </x:r>
    <x:r>
      <x:rPr>
        <x:sz val="900"/>
        <x:color rgb="FF24323D"/>
        <x:rFont val="Hiragino Sans GB"/>
      </x:rPr>
      <x:t xml:space="preserve">V4</x:t>
    </x:r>
    <x:r>
      <x:rPr>
        <x:sz val="900"/>
        <x:color rgb="FF24323D"/>
        <x:rFont val="Linux Libertine G"/>
        <x:family val="2"/>
      </x:rPr>
      <x:t xml:space="preserve">；不开始 </x:t>
    </x:r>
    <x:r>
      <x:rPr>
        <x:sz val="900"/>
        <x:color rgb="FF24323D"/>
        <x:rFont val="Hiragino Sans GB"/>
      </x:rPr>
      <x:t xml:space="preserve">V5</x:t>
    </x:r>
    <x:r>
      <x:rPr>
        <x:sz val="900"/>
        <x:color rgb="FF24323D"/>
        <x:rFont val="Linux Libertine G"/>
        <x:family val="2"/>
      </x:rPr>
      <x:t xml:space="preserve">；不修改游戏代码或 </x:t>
    </x:r>
    <x:r>
      <x:rPr>
        <x:sz val="900"/>
        <x:color rgb="FF24323D"/>
        <x:rFont val="Hiragino Sans GB"/>
      </x:rPr>
      <x:t xml:space="preserve">S1A.2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</x:si>
  <x:si>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docs/planning/*; docs/reviews/TXWZS_MASTER_PLAN_REVIEW_003.md</x:t>
  </x:si>
  <x:si>
    <x:t xml:space="preserve">NEEDS_PLAN_REPAIR_002 findings</x:t>
  </x:si>
  <x:si>
    <x:t xml:space="preserve">可独立审计的规划控制包与最终哈希</x:t>
  </x:si>
  <x:si>
    <x:r>
      <x:rPr>
        <x:sz val="900"/>
        <x:color rgb="FF24323D"/>
        <x:rFont val="Hiragino Sans GB"/>
      </x:rPr>
      <x:t xml:space="preserve">PLAN-REPAIR-001 </x:t>
    </x:r>
    <x:r>
      <x:rPr>
        <x:sz val="900"/>
        <x:color rgb="FF24323D"/>
        <x:rFont val="Linux Libertine G"/>
        <x:family val="2"/>
      </x:rPr>
      <x:t xml:space="preserve">产物与五项 </x:t>
    </x:r>
    <x:r>
      <x:rPr>
        <x:sz val="900"/>
        <x:color rgb="FF24323D"/>
        <x:rFont val="Hiragino Sans GB"/>
      </x:rPr>
      <x:t xml:space="preserve">finding </x:t>
    </x:r>
    <x:r>
      <x:rPr>
        <x:sz val="900"/>
        <x:color rgb="FF24323D"/>
        <x:rFont val="Linux Libertine G"/>
        <x:family val="2"/>
      </x:rPr>
      <x:t xml:space="preserve">已核对</x:t>
    </x:r>
  </x:si>
  <x:si>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无循环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悬空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范围简写；规划需求不挂游戏任务；全部使用区域采用中文字体。</x:t>
    </x:r>
  </x:si>
  <x:si>
    <x:r>
      <x:rPr>
        <x:sz val="900"/>
        <x:color rgb="FF24323D"/>
        <x:rFont val="Linux Libertine G"/>
        <x:family val="2"/>
      </x:rPr>
      <x:t xml:space="preserve">规划审计 </x:t>
    </x:r>
    <x:r>
      <x:rPr>
        <x:sz val="900"/>
        <x:color rgb="FF24323D"/>
        <x:rFont val="Hiragino Sans GB"/>
      </x:rPr>
      <x:t xml:space="preserve">+ LibreOffice </x:t>
    </x:r>
    <x:r>
      <x:rPr>
        <x:sz val="900"/>
        <x:color rgb="FF24323D"/>
        <x:rFont val="Linux Libertine G"/>
        <x:family val="2"/>
      </x:rPr>
      <x:t xml:space="preserve">重算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全表渲染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独立复查</x:t>
    </x:r>
  </x:si>
  <x:si>
    <x:t xml:space="preserve">T-PLAN-001,T-PLAN-GATE-001,T-PLAN-FONT-001</x:t>
  </x:si>
  <x:si>
    <x:r>
      <x:rPr>
        <x:sz val="900"/>
        <x:color rgb="FF24323D"/>
        <x:rFont val="Linux Libertine G"/>
        <x:family val="2"/>
      </x:rPr>
      <x:t xml:space="preserve">恢复 </x:t>
    </x:r>
    <x:r>
      <x:rPr>
        <x:sz val="900"/>
        <x:color rgb="FF24323D"/>
        <x:rFont val="Hiragino Sans GB"/>
      </x:rPr>
      <x:t xml:space="preserve">PLAN-REPAIR-002 </x:t>
    </x:r>
    <x:r>
      <x:rPr>
        <x:sz val="900"/>
        <x:color rgb="FF24323D"/>
        <x:rFont val="Linux Libertine G"/>
        <x:family val="2"/>
      </x:rPr>
      <x:t xml:space="preserve">开工备份中的 </x:t>
    </x:r>
    <x:r>
      <x:rPr>
        <x:sz val="900"/>
        <x:color rgb="FF24323D"/>
        <x:rFont val="Hiragino Sans GB"/>
      </x:rPr>
      <x:t xml:space="preserve">planning/reviews </x:t>
    </x:r>
    <x:r>
      <x:rPr>
        <x:sz val="900"/>
        <x:color rgb="FF24323D"/>
        <x:rFont val="Linux Libertine G"/>
        <x:family val="2"/>
      </x:rPr>
      <x:t xml:space="preserve">目录</x:t>
    </x:r>
  </x:si>
  <x:si>
    <x:t xml:space="preserve">必须修改游戏代码；无法消除循环；中文字体真实渲染失败。</x:t>
  </x:si>
  <x:si>
    <x:r>
      <x:rPr>
        <x:sz val="900"/>
        <x:color rgb="FF24323D"/>
        <x:rFont val="Hiragino Sans GB"/>
      </x:rPr>
      <x:t xml:space="preserve">docs/reviews/TXWZS_MASTER_PLAN_REVIEW_003.md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docs/reviews/TXWZS_MASTER_PLAN_STATE_SYNC_001.md</x:t>
    </x:r>
  </x:si>
  <x:si>
    <x:t xml:space="preserve">RVW-PLAN-003</x:t>
  </x:si>
  <x:si>
    <x:r>
      <x:rPr>
        <x:sz val="900"/>
        <x:color rgb="FF24323D"/>
        <x:rFont val="Linux Libertine G"/>
        <x:family val="2"/>
      </x:rPr>
      <x:t xml:space="preserve">本任务不属于 </x:t>
    </x:r>
    <x:r>
      <x:rPr>
        <x:sz val="900"/>
        <x:color rgb="FF24323D"/>
        <x:rFont val="Hiragino Sans GB"/>
      </x:rPr>
      <x:t xml:space="preserve">V4/V5 </x:t>
    </x:r>
    <x:r>
      <x:rPr>
        <x:sz val="900"/>
        <x:color rgb="FF24323D"/>
        <x:rFont val="Linux Libertine G"/>
        <x:family val="2"/>
      </x:rPr>
      <x:t xml:space="preserve">产品实施阶段；</x:t>
    </x:r>
    <x:r>
      <x:rPr>
        <x:sz val="900"/>
        <x:color rgb="FF24323D"/>
        <x:rFont val="Hiragino Sans GB"/>
      </x:rPr>
      <x:t xml:space="preserve">REVIEW_003 </x:t>
    </x:r>
    <x:r>
      <x:rPr>
        <x:sz val="900"/>
        <x:color rgb="FF24323D"/>
        <x:rFont val="Linux Libertine G"/>
        <x:family val="2"/>
      </x:rPr>
      <x:t xml:space="preserve">已由用户接受，</x:t>
    </x:r>
    <x:r>
      <x:rPr>
        <x:sz val="900"/>
        <x:color rgb="FF24323D"/>
        <x:rFont val="Hiragino Sans GB"/>
      </x:rPr>
      <x:t xml:space="preserve">V4-P5-T001 </x:t>
    </x:r>
    <x:r>
      <x:rPr>
        <x:sz val="900"/>
        <x:color rgb="FF24323D"/>
        <x:rFont val="Linux Libertine G"/>
        <x:family val="2"/>
      </x:rPr>
      <x:t xml:space="preserve">已释放为唯一 </x:t>
    </x:r>
    <x:r>
      <x:rPr>
        <x:sz val="900"/>
        <x:color rgb="FF24323D"/>
        <x:rFont val="Hiragino Sans GB"/>
      </x:rPr>
      <x:t xml:space="preserve">READY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</x:si>
  <x:si>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V5-P0-T001</x:t>
  </x:si>
  <x:si>
    <x:t xml:space="preserve">V5-P0</x:t>
  </x:si>
  <x:si>
    <x:r>
      <x:rPr>
        <x:sz val="900"/>
        <x:color rgb="FF24323D"/>
        <x:rFont val="Hiragino Sans GB"/>
      </x:rPr>
      <x:t xml:space="preserve">P0 </x:t>
    </x:r>
    <x:r>
      <x:rPr>
        <x:sz val="900"/>
        <x:color rgb="FF24323D"/>
        <x:rFont val="Linux Libertine G"/>
        <x:family val="2"/>
      </x:rPr>
      <x:t xml:space="preserve">基线与合同</x:t>
    </x:r>
  </x:si>
  <x:si>
    <x:r>
      <x:rPr>
        <x:sz val="900"/>
        <x:color rgb="FF24323D"/>
        <x:rFont val="Linux Libertine G"/>
        <x:family val="2"/>
      </x:rPr>
      <x:t xml:space="preserve">锁定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起始基线与保护范围</x:t>
    </x:r>
  </x:si>
  <x:si>
    <x:t xml:space="preserve">Investigation</x:t>
  </x:si>
  <x:si>
    <x:r>
      <x:rPr>
        <x:sz val="900"/>
        <x:color rgb="FF24323D"/>
        <x:rFont val="Linux Libertine G"/>
        <x:family val="2"/>
      </x:rPr>
      <x:t xml:space="preserve">重新核对 </x:t>
    </x:r>
    <x:r>
      <x:rPr>
        <x:sz val="900"/>
        <x:color rgb="FF24323D"/>
        <x:rFont val="Hiragino Sans GB"/>
      </x:rPr>
      <x:t xml:space="preserve">V4 freeze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S1A.1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状态和全部状态写入者。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</x:si>
  <x:si>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只建立单兵种战争底座，复用现有城市与 </x:t>
    </x:r>
    <x:r>
      <x:rPr>
        <x:sz val="900"/>
        <x:color rgb="FF24323D"/>
        <x:rFont val="Hiragino Sans GB"/>
      </x:rPr>
      <x:t xml:space="preserve">V4</x:t>
    </x:r>
    <x:r>
      <x:rPr>
        <x:sz val="900"/>
        <x:color rgb="FF24323D"/>
        <x:rFont val="Linux Libertine G"/>
        <x:family val="2"/>
      </x:rPr>
      <x:t xml:space="preserve">，不创建第二套世界状态。</x:t>
    </x:r>
  </x:si>
  <x:si>
    <x:r>
      <x:rPr>
        <x:sz val="900"/>
        <x:color rgb="FF24323D"/>
        <x:rFont val="Hiragino Sans GB"/>
      </x:rPr>
      <x:t xml:space="preserve">Git/</x:t>
    </x:r>
    <x:r>
      <x:rPr>
        <x:sz val="900"/>
        <x:color rgb="FF24323D"/>
        <x:rFont val="Linux Libertine G"/>
        <x:family val="2"/>
      </x:rPr>
      <x:t xml:space="preserve">代码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测试事实清单</x:t>
    </x:r>
  </x:si>
  <x:si>
    <x:r>
      <x:rPr>
        <x:sz val="900"/>
        <x:color rgb="FF24323D"/>
        <x:rFont val="Linux Libertine G"/>
        <x:family val="2"/>
      </x:rPr>
      <x:t xml:space="preserve">第二兵种、多军队并发、敌方 </x:t>
    </x:r>
    <x:r>
      <x:rPr>
        <x:sz val="900"/>
        <x:color rgb="FF24323D"/>
        <x:rFont val="Hiragino Sans GB"/>
      </x:rPr>
      <x:t xml:space="preserve">AI</x:t>
    </x:r>
    <x:r>
      <x:rPr>
        <x:sz val="900"/>
        <x:color rgb="FF24323D"/>
        <x:rFont val="Linux Libertine G"/>
        <x:family val="2"/>
      </x:rPr>
      <x:t xml:space="preserve">、围城、正式美术与无用途通用框架。</x:t>
    </x:r>
  </x:si>
  <x:si>
    <x:t xml:space="preserve">按任务开始时仓库查重后登记；当前不预造文件名</x:t>
  </x:si>
  <x:si>
    <x:r>
      <x:rPr>
        <x:sz val="900"/>
        <x:color rgb="FF24323D"/>
        <x:rFont val="Hiragino Sans GB"/>
      </x:rPr>
      <x:t xml:space="preserve">V4 freeze</x:t>
    </x:r>
    <x:r>
      <x:rPr>
        <x:sz val="900"/>
        <x:color rgb="FF24323D"/>
        <x:rFont val="Linux Libertine G"/>
        <x:family val="2"/>
      </x:rPr>
      <x:t xml:space="preserve">、现有 </x:t>
    </x:r>
    <x:r>
      <x:rPr>
        <x:sz val="900"/>
        <x:color rgb="FF24323D"/>
        <x:rFont val="Hiragino Sans GB"/>
      </x:rPr>
      <x:t xml:space="preserve">ConstructionController / BattleSession / S1A.1 </x:t>
    </x:r>
    <x:r>
      <x:rPr>
        <x:sz val="900"/>
        <x:color rgb="FF24323D"/>
        <x:rFont val="Linux Libertine G"/>
        <x:family val="2"/>
      </x:rPr>
      <x:t xml:space="preserve">证据</x:t>
    </x:r>
  </x:si>
  <x:si>
    <x:r>
      <x:rPr>
        <x:sz val="900"/>
        <x:color rgb="FF24323D"/>
        <x:rFont val="Hiragino Sans GB"/>
      </x:rPr>
      <x:t xml:space="preserve">G0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</x:si>
  <x:si>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r>
      <x:rPr>
        <x:sz val="900"/>
        <x:color rgb="FF24323D"/>
        <x:rFont val="Hiragino Sans GB"/>
      </x:rPr>
      <x:t xml:space="preserve">Git/</x:t>
    </x:r>
    <x:r>
      <x:rPr>
        <x:sz val="900"/>
        <x:color rgb="FF24323D"/>
        <x:rFont val="Linux Libertine G"/>
        <x:family val="2"/>
      </x:rPr>
      <x:t xml:space="preserve">代码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测试事实清单；状态守恒、失败原子、可审计。</x:t>
    </x:r>
  </x:si>
  <x:si>
    <x:r>
      <x:rPr>
        <x:sz val="900"/>
        <x:color rgb="FF24323D"/>
        <x:rFont val="Linux Libertine G"/>
        <x:family val="2"/>
      </x:rPr>
      <x:t xml:space="preserve">自动测试 </x:t>
    </x:r>
    <x:r>
      <x:rPr>
        <x:sz val="900"/>
        <x:color rgb="FF24323D"/>
        <x:rFont val="Hiragino Sans GB"/>
      </x:rPr>
      <x:t xml:space="preserve">/ diff / </x:t>
    </x:r>
    <x:r>
      <x:rPr>
        <x:sz val="900"/>
        <x:color rgb="FF24323D"/>
        <x:rFont val="Linux Libertine G"/>
        <x:family val="2"/>
      </x:rPr>
      <x:t xml:space="preserve">独立复查（按类型）</x:t>
    </x:r>
  </x:si>
  <x:si>
    <x:t xml:space="preserve">T-V5_P0_T001</x:t>
  </x:si>
  <x:si>
    <x:r>
      <x:rPr>
        <x:sz val="900"/>
        <x:color rgb="FF24323D"/>
        <x:rFont val="Linux Libertine G"/>
        <x:family val="2"/>
      </x:rPr>
      <x:t xml:space="preserve">回到上一工作包原子提交；保留 </x:t>
    </x:r>
    <x:r>
      <x:rPr>
        <x:sz val="900"/>
        <x:color rgb="FF24323D"/>
        <x:rFont val="Hiragino Sans GB"/>
      </x:rPr>
      <x:t xml:space="preserve">patch </x:t>
    </x:r>
    <x:r>
      <x:rPr>
        <x:sz val="900"/>
        <x:color rgb="FF24323D"/>
        <x:rFont val="Linux Libertine G"/>
        <x:family val="2"/>
      </x:rPr>
      <x:t xml:space="preserve">和权威状态快照。</x:t>
    </x:r>
  </x:si>
  <x:si>
    <x:r>
      <x:rPr>
        <x:sz val="900"/>
        <x:color rgb="FF24323D"/>
        <x:rFont val="Linux Libertine G"/>
        <x:family val="2"/>
      </x:rPr>
      <x:t xml:space="preserve">需要第二套 </x:t>
    </x:r>
    <x:r>
      <x:rPr>
        <x:sz val="900"/>
        <x:color rgb="FF24323D"/>
        <x:rFont val="Hiragino Sans GB"/>
      </x:rPr>
      <x:t xml:space="preserve">CityState</x:t>
    </x:r>
    <x:r>
      <x:rPr>
        <x:sz val="900"/>
        <x:color rgb="FF24323D"/>
        <x:rFont val="Linux Libertine G"/>
        <x:family val="2"/>
      </x:rPr>
      <x:t xml:space="preserve">、未授权 </x:t>
    </x:r>
    <x:r>
      <x:rPr>
        <x:sz val="900"/>
        <x:color rgb="FF24323D"/>
        <x:rFont val="Hiragino Sans GB"/>
      </x:rPr>
      <x:t xml:space="preserve">schema </x:t>
    </x:r>
    <x:r>
      <x:rPr>
        <x:sz val="900"/>
        <x:color rgb="FF24323D"/>
        <x:rFont val="Linux Libertine G"/>
        <x:family val="2"/>
      </x:rPr>
      <x:t xml:space="preserve">迁移、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被混入、测试无法收敛。</x:t>
    </x:r>
  </x:si>
  <x:si>
    <x:t xml:space="preserve">Independent Codex at package gate</x:t>
  </x:si>
  <x:si>
    <x:t xml:space="preserve">V5-G0</x:t>
  </x:si>
  <x:si>
    <x:t xml:space="preserve">V5-P0-T002</x:t>
  </x:si>
  <x:si>
    <x:t xml:space="preserve">绘制城市—驻军—训练—军队—战果所有权图</x:t>
  </x:si>
  <x:si>
    <x:t xml:space="preserve">Architecture</x:t>
  </x:si>
  <x:si>
    <x:t xml:space="preserve">为每个可写字段确定唯一写入者和生命周期。</x:t>
  </x:si>
  <x:si>
    <x:t xml:space="preserve">所有权表与禁止写入路径</x:t>
  </x:si>
  <x:si>
    <x:r>
      <x:rPr>
        <x:sz val="900"/>
        <x:color rgb="FF24323D"/>
        <x:rFont val="Hiragino Sans GB"/>
      </x:rPr>
      <x:t xml:space="preserve">G1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</x:si>
  <x:si>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t xml:space="preserve">所有权表与禁止写入路径；状态守恒、失败原子、可审计。</x:t>
  </x:si>
  <x:si>
    <x:t xml:space="preserve">T-V5_P0_T002</x:t>
  </x:si>
  <x:si>
    <x:t xml:space="preserve">Independent Codex / User gate</x:t>
  </x:si>
  <x:si>
    <x:t xml:space="preserve">CRITICAL</x:t>
  </x:si>
  <x:si>
    <x:t xml:space="preserve">V5-G1</x:t>
  </x:si>
  <x:si>
    <x:t xml:space="preserve">V5-P0-T003</x:t>
  </x:si>
  <x:si>
    <x:r>
      <x:rPr>
        <x:sz val="900"/>
        <x:color rgb="FF24323D"/>
        <x:rFont val="Linux Libertine G"/>
        <x:family val="2"/>
      </x:rPr>
      <x:t xml:space="preserve">定义单兵种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数据合同</x:t>
    </x:r>
  </x:si>
  <x:si>
    <x:r>
      <x:rPr>
        <x:sz val="900"/>
        <x:color rgb="FF24323D"/>
        <x:rFont val="Linux Libertine G"/>
        <x:family val="2"/>
      </x:rPr>
      <x:t xml:space="preserve">定义 </x:t>
    </x:r>
    <x:r>
      <x:rPr>
        <x:sz val="900"/>
        <x:color rgb="FF24323D"/>
        <x:rFont val="Hiragino Sans GB"/>
      </x:rPr>
      <x:t xml:space="preserve">UnitDefinition </x:t>
    </x:r>
    <x:r>
      <x:rPr>
        <x:sz val="900"/>
        <x:color rgb="FF24323D"/>
        <x:rFont val="Linux Libertine G"/>
        <x:family val="2"/>
      </x:rPr>
      <x:t xml:space="preserve">兼容现有 </x:t>
    </x:r>
    <x:r>
      <x:rPr>
        <x:sz val="900"/>
        <x:color rgb="FF24323D"/>
        <x:rFont val="Hiragino Sans GB"/>
      </x:rPr>
      <x:t xml:space="preserve">UnitRole </x:t>
    </x:r>
    <x:r>
      <x:rPr>
        <x:sz val="900"/>
        <x:color rgb="FF24323D"/>
        <x:rFont val="Linux Libertine G"/>
        <x:family val="2"/>
      </x:rPr>
      <x:t xml:space="preserve">的升级路径，不先增加第二兵种。</x:t>
    </x:r>
  </x:si>
  <x:si>
    <x:r>
      <x:rPr>
        <x:sz val="900"/>
        <x:color rgb="FF24323D"/>
        <x:rFont val="Linux Libertine G"/>
        <x:family val="2"/>
      </x:rPr>
      <x:t xml:space="preserve">字段合同、稳定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、扩展边界</x:t>
    </x:r>
  </x:si>
  <x:si>
    <x:r>
      <x:rPr>
        <x:sz val="900"/>
        <x:color rgb="FF24323D"/>
        <x:rFont val="Linux Libertine G"/>
        <x:family val="2"/>
      </x:rPr>
      <x:t xml:space="preserve">字段合同、稳定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、扩展边界；状态守恒、失败原子、可审计。</x:t>
    </x:r>
  </x:si>
  <x:si>
    <x:t xml:space="preserve">T-V5_P0_T003</x:t>
  </x:si>
  <x:si>
    <x:t xml:space="preserve">V5-P0-T004</x:t>
  </x:si>
  <x:si>
    <x:t xml:space="preserve">定义本城驻军与可派兵力合同</x:t>
  </x:si>
  <x:si>
    <x:t xml:space="preserve">区分城市总兵力、驻军、预留、在途和战后幸存。</x:t>
  </x:si>
  <x:si>
    <x:t xml:space="preserve">守恒式、合法转换、失败路径</x:t>
  </x:si>
  <x:si>
    <x:t xml:space="preserve">守恒式、合法转换、失败路径；状态守恒、失败原子、可审计。</x:t>
  </x:si>
  <x:si>
    <x:t xml:space="preserve">T-V5_P0_T004</x:t>
  </x:si>
  <x:si>
    <x:t xml:space="preserve">V5-P0-T005</x:t>
  </x:si>
  <x:si>
    <x:r>
      <x:rPr>
        <x:sz val="900"/>
        <x:color rgb="FF24323D"/>
        <x:rFont val="Linux Libertine G"/>
        <x:family val="2"/>
      </x:rPr>
      <x:t xml:space="preserve">定义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回滚包和停止条件</x:t>
    </x:r>
  </x:si>
  <x:si>
    <x:r>
      <x:rPr>
        <x:sz val="900"/>
        <x:color rgb="FF24323D"/>
        <x:rFont val="Linux Libertine G"/>
        <x:family val="2"/>
      </x:rPr>
      <x:t xml:space="preserve">保证每个工作包可独立回退，不吸收 </x:t>
    </x:r>
    <x:r>
      <x:rPr>
        <x:sz val="900"/>
        <x:color rgb="FF24323D"/>
        <x:rFont val="Hiragino Sans GB"/>
      </x:rPr>
      <x:t xml:space="preserve">S1A.2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</x:si>
  <x:si>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Hiragino Sans GB"/>
      </x:rPr>
      <x:t xml:space="preserve">checkpoint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、文件范围</x:t>
    </x:r>
  </x:si>
  <x:si>
    <x:r>
      <x:rPr>
        <x:sz val="900"/>
        <x:color rgb="FF24323D"/>
        <x:rFont val="Hiragino Sans GB"/>
      </x:rPr>
      <x:t xml:space="preserve">checkpoint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、文件范围；状态守恒、失败原子、可审计。</x:t>
    </x:r>
  </x:si>
  <x:si>
    <x:t xml:space="preserve">T-V5_P0_T005</x:t>
  </x:si>
  <x:si>
    <x:t xml:space="preserve">P1</x:t>
  </x:si>
  <x:si>
    <x:t xml:space="preserve">V5-P1-T001</x:t>
  </x:si>
  <x:si>
    <x:t xml:space="preserve">V5-P1</x:t>
  </x:si>
  <x:si>
    <x:r>
      <x:rPr>
        <x:sz val="900"/>
        <x:color rgb="FF24323D"/>
        <x:rFont val="Hiragino Sans GB"/>
      </x:rPr>
      <x:t xml:space="preserve">P1 </x:t>
    </x:r>
    <x:r>
      <x:rPr>
        <x:sz val="900"/>
        <x:color rgb="FF24323D"/>
        <x:rFont val="Linux Libertine G"/>
        <x:family val="2"/>
      </x:rPr>
      <x:t xml:space="preserve">单兵种与驻军</x:t>
    </x:r>
  </x:si>
  <x:si>
    <x:t xml:space="preserve">建立静态步兵定义适配</x:t>
  </x:si>
  <x:si>
    <x:r>
      <x:rPr>
        <x:sz val="900"/>
        <x:color rgb="FF24323D"/>
        <x:rFont val="Linux Libertine G"/>
        <x:family val="2"/>
      </x:rPr>
      <x:t xml:space="preserve">复用 </x:t>
    </x:r>
    <x:r>
      <x:rPr>
        <x:sz val="900"/>
        <x:color rgb="FF24323D"/>
        <x:rFont val="Hiragino Sans GB"/>
      </x:rPr>
      <x:t xml:space="preserve">UnitRole </x:t>
    </x:r>
    <x:r>
      <x:rPr>
        <x:sz val="900"/>
        <x:color rgb="FF24323D"/>
        <x:rFont val="Linux Libertine G"/>
        <x:family val="2"/>
      </x:rPr>
      <x:t xml:space="preserve">或窄适配，不复制战斗数值。</x:t>
    </x:r>
  </x:si>
  <x:si>
    <x:r>
      <x:rPr>
        <x:sz val="900"/>
        <x:color rgb="FF24323D"/>
        <x:rFont val="Linux Libertine G"/>
        <x:family val="2"/>
      </x:rPr>
      <x:t xml:space="preserve">单兵种稳定 </x:t>
    </x:r>
    <x:r>
      <x:rPr>
        <x:sz val="900"/>
        <x:color rgb="FF24323D"/>
        <x:rFont val="Hiragino Sans GB"/>
      </x:rPr>
      <x:t xml:space="preserve">definition ID </x:t>
    </x:r>
    <x:r>
      <x:rPr>
        <x:sz val="900"/>
        <x:color rgb="FF24323D"/>
        <x:rFont val="Linux Libertine G"/>
        <x:family val="2"/>
      </x:rPr>
      <x:t xml:space="preserve">与查询 </x:t>
    </x:r>
    <x:r>
      <x:rPr>
        <x:sz val="900"/>
        <x:color rgb="FF24323D"/>
        <x:rFont val="Hiragino Sans GB"/>
      </x:rPr>
      <x:t xml:space="preserve">API</x:t>
    </x:r>
  </x:si>
  <x:si>
    <x:r>
      <x:rPr>
        <x:sz val="900"/>
        <x:color rgb="FF24323D"/>
        <x:rFont val="Hiragino Sans GB"/>
      </x:rPr>
      <x:t xml:space="preserve">G2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</x:si>
  <x:si>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r>
      <x:rPr>
        <x:sz val="900"/>
        <x:color rgb="FF24323D"/>
        <x:rFont val="Linux Libertine G"/>
        <x:family val="2"/>
      </x:rPr>
      <x:t xml:space="preserve">单兵种稳定 </x:t>
    </x:r>
    <x:r>
      <x:rPr>
        <x:sz val="900"/>
        <x:color rgb="FF24323D"/>
        <x:rFont val="Hiragino Sans GB"/>
      </x:rPr>
      <x:t xml:space="preserve">definition ID </x:t>
    </x:r>
    <x:r>
      <x:rPr>
        <x:sz val="900"/>
        <x:color rgb="FF24323D"/>
        <x:rFont val="Linux Libertine G"/>
        <x:family val="2"/>
      </x:rPr>
      <x:t xml:space="preserve">与查询 </x:t>
    </x:r>
    <x:r>
      <x:rPr>
        <x:sz val="900"/>
        <x:color rgb="FF24323D"/>
        <x:rFont val="Hiragino Sans GB"/>
      </x:rPr>
      <x:t xml:space="preserve">API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</x:si>
  <x:si>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T-V5_P1_T001</x:t>
  </x:si>
  <x:si>
    <x:t xml:space="preserve">V5-G2</x:t>
  </x:si>
  <x:si>
    <x:t xml:space="preserve">V5-P1-T002</x:t>
  </x:si>
  <x:si>
    <x:t xml:space="preserve">建立本城驻军源状态</x:t>
  </x:si>
  <x:si>
    <x:r>
      <x:rPr>
        <x:sz val="900"/>
        <x:color rgb="FF24323D"/>
        <x:rFont val="Linux Libertine G"/>
        <x:family val="2"/>
      </x:rPr>
      <x:t xml:space="preserve">从 </x:t>
    </x:r>
    <x:r>
      <x:rPr>
        <x:sz val="900"/>
        <x:color rgb="FF24323D"/>
        <x:rFont val="Hiragino Sans GB"/>
      </x:rPr>
      <x:t xml:space="preserve">infantry_count </x:t>
    </x:r>
    <x:r>
      <x:rPr>
        <x:sz val="900"/>
        <x:color rgb="FF24323D"/>
        <x:rFont val="Linux Libertine G"/>
        <x:family val="2"/>
      </x:rPr>
      <x:t xml:space="preserve">迁移到可扩展但最小的驻军结构。</x:t>
    </x:r>
  </x:si>
  <x:si>
    <x:t xml:space="preserve">驻军源字段与兼容读取</x:t>
  </x:si>
  <x:si>
    <x:t xml:space="preserve">V5-P0-T004,V5-P1-T001</x:t>
  </x:si>
  <x:si>
    <x:t xml:space="preserve">驻军源字段与兼容读取；状态守恒、失败原子、可审计。</x:t>
  </x:si>
  <x:si>
    <x:t xml:space="preserve">T-V5_P1_T002</x:t>
  </x:si>
  <x:si>
    <x:t xml:space="preserve">V5-P1-T003</x:t>
  </x:si>
  <x:si>
    <x:t xml:space="preserve">定义兵源／人口边界</x:t>
  </x:si>
  <x:si>
    <x:r>
      <x:rPr>
        <x:sz val="900"/>
        <x:color rgb="FF24323D"/>
        <x:rFont val="Linux Libertine G"/>
        <x:family val="2"/>
      </x:rPr>
      <x:t xml:space="preserve">明确训练消耗的兵源来源；未有真实人口时标记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临时合同。</x:t>
    </x:r>
  </x:si>
  <x:si>
    <x:t xml:space="preserve">可验证兵源规则，不伪造完整人口系统</x:t>
  </x:si>
  <x:si>
    <x:t xml:space="preserve">可验证兵源规则，不伪造完整人口系统；状态守恒、失败原子、可审计。</x:t>
  </x:si>
  <x:si>
    <x:t xml:space="preserve">T-V5_P1_T003</x:t>
  </x:si>
  <x:si>
    <x:t xml:space="preserve">V5-G1,V5-G2</x:t>
  </x:si>
  <x:si>
    <x:t xml:space="preserve">V5-P1-T004</x:t>
  </x:si>
  <x:si>
    <x:t xml:space="preserve">实现驻军容量与可派上限查询</x:t>
  </x:si>
  <x:si>
    <x:t xml:space="preserve">把招募上限、供养与已预留兵力纳入同一查询。</x:t>
  </x:si>
  <x:si>
    <x:r>
      <x:rPr>
        <x:sz val="900"/>
        <x:color rgb="FF24323D"/>
        <x:rFont val="Linux Libertine G"/>
        <x:family val="2"/>
      </x:rPr>
      <x:t xml:space="preserve">无负数、无复制的可派兵力 </x:t>
    </x:r>
    <x:r>
      <x:rPr>
        <x:sz val="900"/>
        <x:color rgb="FF24323D"/>
        <x:rFont val="Hiragino Sans GB"/>
      </x:rPr>
      <x:t xml:space="preserve">API</x:t>
    </x:r>
  </x:si>
  <x:si>
    <x:t xml:space="preserve">V5-P1-T002,V5-P1-T003</x:t>
  </x:si>
  <x:si>
    <x:r>
      <x:rPr>
        <x:sz val="900"/>
        <x:color rgb="FF24323D"/>
        <x:rFont val="Linux Libertine G"/>
        <x:family val="2"/>
      </x:rPr>
      <x:t xml:space="preserve">无负数、无复制的可派兵力 </x:t>
    </x:r>
    <x:r>
      <x:rPr>
        <x:sz val="900"/>
        <x:color rgb="FF24323D"/>
        <x:rFont val="Hiragino Sans GB"/>
      </x:rPr>
      <x:t xml:space="preserve">API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</x:si>
  <x:si>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T-V5_P1_T004</x:t>
  </x:si>
  <x:si>
    <x:t xml:space="preserve">V5-P1-T005</x:t>
  </x:si>
  <x:si>
    <x:t xml:space="preserve">实现驻军状态合同测试</x:t>
  </x:si>
  <x:si>
    <x:t xml:space="preserve">Test</x:t>
  </x:si>
  <x:si>
    <x:t xml:space="preserve">覆盖增加、预留、释放、扣损、返回、容量。</x:t>
  </x:si>
  <x:si>
    <x:r>
      <x:rPr>
        <x:sz val="900"/>
        <x:color rgb="FF24323D"/>
        <x:rFont val="Linux Libertine G"/>
        <x:family val="2"/>
      </x:rPr>
      <x:t xml:space="preserve">确定性合同 </x:t>
    </x:r>
    <x:r>
      <x:rPr>
        <x:sz val="900"/>
        <x:color rgb="FF24323D"/>
        <x:rFont val="Hiragino Sans GB"/>
      </x:rPr>
      <x:t xml:space="preserve">runner</x:t>
    </x:r>
  </x:si>
  <x:si>
    <x:t xml:space="preserve">V5-P1-T002,V5-P1-T004</x:t>
  </x:si>
  <x:si>
    <x:r>
      <x:rPr>
        <x:sz val="900"/>
        <x:color rgb="FF24323D"/>
        <x:rFont val="Linux Libertine G"/>
        <x:family val="2"/>
      </x:rPr>
      <x:t xml:space="preserve">确定性合同 </x:t>
    </x:r>
    <x:r>
      <x:rPr>
        <x:sz val="900"/>
        <x:color rgb="FF24323D"/>
        <x:rFont val="Hiragino Sans GB"/>
      </x:rPr>
      <x:t xml:space="preserve">runner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</x:si>
  <x:si>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T-V5_P1_T005</x:t>
  </x:si>
  <x:si>
    <x:t xml:space="preserve">V5-P1-T006</x:t>
  </x:si>
  <x:si>
    <x:t xml:space="preserve">兼容现有战斗兵力读取</x:t>
  </x:si>
  <x:si>
    <x:t xml:space="preserve">Adapter</x:t>
  </x:si>
  <x:si>
    <x:r>
      <x:rPr>
        <x:sz val="900"/>
        <x:color rgb="FF24323D"/>
        <x:rFont val="Hiragino Sans GB"/>
      </x:rPr>
      <x:t xml:space="preserve">C0/P1-E </x:t>
    </x:r>
    <x:r>
      <x:rPr>
        <x:sz val="900"/>
        <x:color rgb="FF24323D"/>
        <x:rFont val="Linux Libertine G"/>
        <x:family val="2"/>
      </x:rPr>
      <x:t xml:space="preserve">继续从唯一城市权威读取，不复制兵力。</x:t>
    </x:r>
  </x:si>
  <x:si>
    <x:t xml:space="preserve">兼容适配层与回归</x:t>
  </x:si>
  <x:si>
    <x:t xml:space="preserve">兼容适配层与回归；状态守恒、失败原子、可审计。</x:t>
  </x:si>
  <x:si>
    <x:t xml:space="preserve">T-V5_P1_T006</x:t>
  </x:si>
  <x:si>
    <x:t xml:space="preserve">V5-P2-T001</x:t>
  </x:si>
  <x:si>
    <x:t xml:space="preserve">V5-P2</x:t>
  </x:si>
  <x:si>
    <x:r>
      <x:rPr>
        <x:sz val="900"/>
        <x:color rgb="FF24323D"/>
        <x:rFont val="Hiragino Sans GB"/>
      </x:rPr>
      <x:t xml:space="preserve">P2 </x:t>
    </x:r>
    <x:r>
      <x:rPr>
        <x:sz val="900"/>
        <x:color rgb="FF24323D"/>
        <x:rFont val="Linux Libertine G"/>
        <x:family val="2"/>
      </x:rPr>
      <x:t xml:space="preserve">训练与时间</x:t>
    </x:r>
  </x:si>
  <x:si>
    <x:t xml:space="preserve">定义训练队列源状态</x:t>
  </x:si>
  <x:si>
    <x:t xml:space="preserve">把当前三个训练字段升级为可验证最小队列，不提前通用任务系统。</x:t>
  </x:si>
  <x:si>
    <x:r>
      <x:rPr>
        <x:sz val="900"/>
        <x:color rgb="FF24323D"/>
        <x:rFont val="Hiragino Sans GB"/>
      </x:rPr>
      <x:t xml:space="preserve">TrainingQueue </x:t>
    </x:r>
    <x:r>
      <x:rPr>
        <x:sz val="900"/>
        <x:color rgb="FF24323D"/>
        <x:rFont val="Linux Libertine G"/>
        <x:family val="2"/>
      </x:rPr>
      <x:t xml:space="preserve">合同、状态转换、稳定 </x:t>
    </x:r>
    <x:r>
      <x:rPr>
        <x:sz val="900"/>
        <x:color rgb="FF24323D"/>
        <x:rFont val="Hiragino Sans GB"/>
      </x:rPr>
      <x:t xml:space="preserve">ID</x:t>
    </x:r>
  </x:si>
  <x:si>
    <x:t xml:space="preserve">V5-P0-T002,V5-P1-T003</x:t>
  </x:si>
  <x:si>
    <x:r>
      <x:rPr>
        <x:sz val="900"/>
        <x:color rgb="FF24323D"/>
        <x:rFont val="Hiragino Sans GB"/>
      </x:rPr>
      <x:t xml:space="preserve">TrainingQueue </x:t>
    </x:r>
    <x:r>
      <x:rPr>
        <x:sz val="900"/>
        <x:color rgb="FF24323D"/>
        <x:rFont val="Linux Libertine G"/>
        <x:family val="2"/>
      </x:rPr>
      <x:t xml:space="preserve">合同、状态转换、稳定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</x:si>
  <x:si>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T-V5_P2_T001</x:t>
  </x:si>
  <x:si>
    <x:t xml:space="preserve">V5-P2-T002</x:t>
  </x:si>
  <x:si>
    <x:t xml:space="preserve">接入军营训练能力</x:t>
  </x:si>
  <x:si>
    <x:r>
      <x:rPr>
        <x:sz val="900"/>
        <x:color rgb="FF24323D"/>
        <x:rFont val="Linux Libertine G"/>
        <x:family val="2"/>
      </x:rPr>
      <x:t xml:space="preserve">只有满足现有军营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资源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容量规则才允许下单。</x:t>
    </x:r>
  </x:si>
  <x:si>
    <x:t xml:space="preserve">公开下单入口和失败原因</x:t>
  </x:si>
  <x:si>
    <x:t xml:space="preserve">公开下单入口和失败原因；状态守恒、失败原子、可审计。</x:t>
  </x:si>
  <x:si>
    <x:t xml:space="preserve">T-V5_P2_T002</x:t>
  </x:si>
  <x:si>
    <x:t xml:space="preserve">V5-P2-T003</x:t>
  </x:si>
  <x:si>
    <x:t xml:space="preserve">实现训练资源原子扣除</x:t>
  </x:si>
  <x:si>
    <x:r>
      <x:rPr>
        <x:sz val="900"/>
        <x:color rgb="FF24323D"/>
        <x:rFont val="Linux Libertine G"/>
        <x:family val="2"/>
      </x:rPr>
      <x:t xml:space="preserve">下单成功只扣一次；取消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失败不扣；不形成第二账本。</x:t>
    </x:r>
  </x:si>
  <x:si>
    <x:t xml:space="preserve">原子命令和失败回滚</x:t>
  </x:si>
  <x:si>
    <x:t xml:space="preserve">原子命令和失败回滚；状态守恒、失败原子、可审计。</x:t>
  </x:si>
  <x:si>
    <x:t xml:space="preserve">T-V5_P2_T003</x:t>
  </x:si>
  <x:si>
    <x:t xml:space="preserve">V5-P2-T004</x:t>
  </x:si>
  <x:si>
    <x:t xml:space="preserve">定义时间、暂停、场景切换边界</x:t>
  </x:si>
  <x:si>
    <x:r>
      <x:rPr>
        <x:sz val="900"/>
        <x:color rgb="FF24323D"/>
        <x:rFont val="Linux Libertine G"/>
        <x:family val="2"/>
      </x:rPr>
      <x:t xml:space="preserve">训练只由城市战略时间推进；战斗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战争阻断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普通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语义明确。</x:t>
    </x:r>
  </x:si>
  <x:si>
    <x:t xml:space="preserve">时间推进矩阵</x:t>
  </x:si>
  <x:si>
    <x:t xml:space="preserve">时间推进矩阵；状态守恒、失败原子、可审计。</x:t>
  </x:si>
  <x:si>
    <x:t xml:space="preserve">T-V5_P2_T004</x:t>
  </x:si>
  <x:si>
    <x:t xml:space="preserve">V5-P2-T005</x:t>
  </x:si>
  <x:si>
    <x:t xml:space="preserve">实现训练完成进入本城驻军</x:t>
  </x:si>
  <x:si>
    <x:t xml:space="preserve">日结算时完成一次并写入驻军；重复结算无第二次兵力。</x:t>
  </x:si>
  <x:si>
    <x:t xml:space="preserve">完工转移与日志</x:t>
  </x:si>
  <x:si>
    <x:t xml:space="preserve">V5-P2-T003,V5-P2-T004,V5-P1-T002</x:t>
  </x:si>
  <x:si>
    <x:t xml:space="preserve">完工转移与日志；状态守恒、失败原子、可审计。</x:t>
  </x:si>
  <x:si>
    <x:t xml:space="preserve">T-V5_P2_T005</x:t>
  </x:si>
  <x:si>
    <x:t xml:space="preserve">V5-P2-T006</x:t>
  </x:si>
  <x:si>
    <x:t xml:space="preserve">实现容量／供养阻断原因</x:t>
  </x:si>
  <x:si>
    <x:r>
      <x:rPr>
        <x:sz val="900"/>
        <x:color rgb="FF24323D"/>
        <x:rFont val="Linux Libertine G"/>
        <x:family val="2"/>
      </x:rPr>
      <x:t xml:space="preserve">达到上限时暂停或拒绝，并向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返回具体原因。</x:t>
    </x:r>
  </x:si>
  <x:si>
    <x:r>
      <x:rPr>
        <x:sz val="900"/>
        <x:color rgb="FF24323D"/>
        <x:rFont val="Linux Libertine G"/>
        <x:family val="2"/>
      </x:rPr>
      <x:t xml:space="preserve">结构化 </x:t>
    </x:r>
    <x:r>
      <x:rPr>
        <x:sz val="900"/>
        <x:color rgb="FF24323D"/>
        <x:rFont val="Hiragino Sans GB"/>
      </x:rPr>
      <x:t xml:space="preserve">blocked reason</x:t>
    </x:r>
  </x:si>
  <x:si>
    <x:t xml:space="preserve">V5-P1-T004,V5-P2-T005</x:t>
  </x:si>
  <x:si>
    <x:r>
      <x:rPr>
        <x:sz val="900"/>
        <x:color rgb="FF24323D"/>
        <x:rFont val="Linux Libertine G"/>
        <x:family val="2"/>
      </x:rPr>
      <x:t xml:space="preserve">结构化 </x:t>
    </x:r>
    <x:r>
      <x:rPr>
        <x:sz val="900"/>
        <x:color rgb="FF24323D"/>
        <x:rFont val="Hiragino Sans GB"/>
      </x:rPr>
      <x:t xml:space="preserve">blocked reason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</x:si>
  <x:si>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T-V5_P2_T006</x:t>
  </x:si>
  <x:si>
    <x:t xml:space="preserve">V5-P2-T007</x:t>
  </x:si>
  <x:si>
    <x:t xml:space="preserve">实现训练与日结算测试</x:t>
  </x:si>
  <x:si>
    <x:r>
      <x:rPr>
        <x:sz val="900"/>
        <x:color rgb="FF24323D"/>
        <x:rFont val="Linux Libertine G"/>
        <x:family val="2"/>
      </x:rPr>
      <x:t xml:space="preserve">覆盖 </x:t>
    </x:r>
    <x:r>
      <x:rPr>
        <x:sz val="900"/>
        <x:color rgb="FF24323D"/>
        <x:rFont val="Hiragino Sans GB"/>
      </x:rPr>
      <x:t xml:space="preserve">1×/2×/4×</x:t>
    </x:r>
    <x:r>
      <x:rPr>
        <x:sz val="900"/>
        <x:color rgb="FF24323D"/>
        <x:rFont val="Linux Libertine G"/>
        <x:family val="2"/>
      </x:rPr>
      <x:t xml:space="preserve">、暂停、战争阻断、场景切换和重复日界线。</x:t>
    </x:r>
  </x:si>
  <x:si>
    <x:r>
      <x:rPr>
        <x:sz val="900"/>
        <x:color rgb="FF24323D"/>
        <x:rFont val="Linux Libertine G"/>
        <x:family val="2"/>
      </x:rPr>
      <x:t xml:space="preserve">训练 </x:t>
    </x:r>
    <x:r>
      <x:rPr>
        <x:sz val="900"/>
        <x:color rgb="FF24323D"/>
        <x:rFont val="Hiragino Sans GB"/>
      </x:rPr>
      <x:t xml:space="preserve">runner </x:t>
    </x:r>
    <x:r>
      <x:rPr>
        <x:sz val="900"/>
        <x:color rgb="FF24323D"/>
        <x:rFont val="Linux Libertine G"/>
        <x:family val="2"/>
      </x:rPr>
      <x:t xml:space="preserve">与既有日结算回归</x:t>
    </x:r>
  </x:si>
  <x:si>
    <x:t xml:space="preserve">V5-P2-T005,V5-P2-T006</x:t>
  </x:si>
  <x:si>
    <x:r>
      <x:rPr>
        <x:sz val="900"/>
        <x:color rgb="FF24323D"/>
        <x:rFont val="Linux Libertine G"/>
        <x:family val="2"/>
      </x:rPr>
      <x:t xml:space="preserve">训练 </x:t>
    </x:r>
    <x:r>
      <x:rPr>
        <x:sz val="900"/>
        <x:color rgb="FF24323D"/>
        <x:rFont val="Hiragino Sans GB"/>
      </x:rPr>
      <x:t xml:space="preserve">runner </x:t>
    </x:r>
    <x:r>
      <x:rPr>
        <x:sz val="900"/>
        <x:color rgb="FF24323D"/>
        <x:rFont val="Linux Libertine G"/>
        <x:family val="2"/>
      </x:rPr>
      <x:t xml:space="preserve">与既有日结算回归；状态守恒、失败原子、可审计。</x:t>
    </x:r>
  </x:si>
  <x:si>
    <x:t xml:space="preserve">T-V5_P2_T007</x:t>
  </x:si>
  <x:si>
    <x:t xml:space="preserve">V5-P3-T001</x:t>
  </x:si>
  <x:si>
    <x:t xml:space="preserve">V5-P3</x:t>
  </x:si>
  <x:si>
    <x:r>
      <x:rPr>
        <x:sz val="900"/>
        <x:color rgb="FF24323D"/>
        <x:rFont val="Hiragino Sans GB"/>
      </x:rPr>
      <x:t xml:space="preserve">P3 </x:t>
    </x:r>
    <x:r>
      <x:rPr>
        <x:sz val="900"/>
        <x:color rgb="FF24323D"/>
        <x:rFont val="Linux Libertine G"/>
        <x:family val="2"/>
      </x:rPr>
      <x:t xml:space="preserve">派遣与军队</x:t>
    </x:r>
  </x:si>
  <x:si>
    <x:r>
      <x:rPr>
        <x:sz val="900"/>
        <x:color rgb="FF24323D"/>
        <x:rFont val="Linux Libertine G"/>
        <x:family val="2"/>
      </x:rPr>
      <x:t xml:space="preserve">定义可持久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最小合同</x:t>
    </x:r>
  </x:si>
  <x:si>
    <x:r>
      <x:rPr>
        <x:sz val="900"/>
        <x:color rgb="FF24323D"/>
        <x:rFont val="Linux Libertine G"/>
        <x:family val="2"/>
      </x:rPr>
      <x:t xml:space="preserve">从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起使用持久集合容器；每项包含 </x:t>
    </x:r>
    <x:r>
      <x:rPr>
        <x:sz val="900"/>
        <x:color rgb="FF24323D"/>
        <x:rFont val="Hiragino Sans GB"/>
      </x:rPr>
      <x:t xml:space="preserve">stable ID</x:t>
    </x:r>
    <x:r>
      <x:rPr>
        <x:sz val="900"/>
        <x:color rgb="FF24323D"/>
        <x:rFont val="Linux Libertine G"/>
        <x:family val="2"/>
      </x:rPr>
      <x:t xml:space="preserve">、兵种数量、稳定来源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目标</x:t>
    </x:r>
    <x:r>
      <x:rPr>
        <x:sz val="900"/>
        <x:color rgb="FF24323D"/>
        <x:rFont val="Hiragino Sans GB"/>
      </x:rPr>
      <x:t xml:space="preserve">/route ID</x:t>
    </x:r>
    <x:r>
      <x:rPr>
        <x:sz val="900"/>
        <x:color rgb="FF24323D"/>
        <x:rFont val="Linux Libertine G"/>
        <x:family val="2"/>
      </x:rPr>
      <x:t xml:space="preserve">、进度、阶段和事务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运行规则最多一支 </x:t>
    </x:r>
    <x:r>
      <x:rPr>
        <x:sz val="900"/>
        <x:color rgb="FF24323D"/>
        <x:rFont val="Hiragino Sans GB"/>
      </x:rPr>
      <x:t xml:space="preserve">active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</x:si>
  <x:si>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不依赖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的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集合合同</x:t>
    </x:r>
  </x:si>
  <x:si>
    <x:r>
      <x:rPr>
        <x:sz val="900"/>
        <x:color rgb="FF24323D"/>
        <x:rFont val="Linux Libertine G"/>
        <x:family val="2"/>
      </x:rPr>
      <x:t xml:space="preserve">不依赖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的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集合合同；状态守恒、失败原子、可审计。</x:t>
    </x:r>
  </x:si>
  <x:si>
    <x:t xml:space="preserve">T-V5_P3_T001</x:t>
  </x:si>
  <x:si>
    <x:t xml:space="preserve">V5-P3-T002</x:t>
  </x:si>
  <x:si>
    <x:r>
      <x:rPr>
        <x:sz val="900"/>
        <x:color rgb="FF24323D"/>
        <x:rFont val="Linux Libertine G"/>
        <x:family val="2"/>
      </x:rPr>
      <x:t xml:space="preserve">建立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调遣窄适配层</x:t>
    </x:r>
  </x:si>
  <x:si>
    <x:r>
      <x:rPr>
        <x:sz val="900"/>
        <x:color rgb="FF24323D"/>
        <x:rFont val="Hiragino Sans GB"/>
      </x:rPr>
      <x:t xml:space="preserve">V4 UI </x:t>
    </x:r>
    <x:r>
      <x:rPr>
        <x:sz val="900"/>
        <x:color rgb="FF24323D"/>
        <x:rFont val="Linux Libertine G"/>
        <x:family val="2"/>
      </x:rPr>
      <x:t xml:space="preserve">读取真实驻军并提交权威派遣命令；不让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脚本成为世界状态。</x:t>
    </x:r>
  </x:si>
  <x:si>
    <x:r>
      <x:rPr>
        <x:sz val="900"/>
        <x:color rgb="FF24323D"/>
        <x:rFont val="Linux Libertine G"/>
        <x:family val="2"/>
      </x:rPr>
      <x:t xml:space="preserve">查询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命令接口</x:t>
    </x:r>
  </x:si>
  <x:si>
    <x:t xml:space="preserve">V5-P3-T001,V5-P1-T004</x:t>
  </x:si>
  <x:si>
    <x:r>
      <x:rPr>
        <x:sz val="900"/>
        <x:color rgb="FF24323D"/>
        <x:rFont val="Linux Libertine G"/>
        <x:family val="2"/>
      </x:rPr>
      <x:t xml:space="preserve">查询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命令接口；状态守恒、失败原子、可审计。</x:t>
    </x:r>
  </x:si>
  <x:si>
    <x:t xml:space="preserve">T-V5_P3_T002</x:t>
  </x:si>
  <x:si>
    <x:t xml:space="preserve">V5-P3-T003</x:t>
  </x:si>
  <x:si>
    <x:t xml:space="preserve">实现派遣预留与一次性扣兵</x:t>
  </x:si>
  <x:si>
    <x:r>
      <x:rPr>
        <x:sz val="900"/>
        <x:color rgb="FF24323D"/>
        <x:rFont val="Linux Libertine G"/>
        <x:family val="2"/>
      </x:rPr>
      <x:t xml:space="preserve">确认命令后驻军→预留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在途转换一次；取消安全释放。</x:t>
    </x:r>
  </x:si>
  <x:si>
    <x:r>
      <x:rPr>
        <x:sz val="900"/>
        <x:color rgb="FF24323D"/>
        <x:rFont val="Hiragino Sans GB"/>
      </x:rPr>
      <x:t xml:space="preserve">transaction ID </x:t>
    </x:r>
    <x:r>
      <x:rPr>
        <x:sz val="900"/>
        <x:color rgb="FF24323D"/>
        <x:rFont val="Linux Libertine G"/>
        <x:family val="2"/>
      </x:rPr>
      <x:t xml:space="preserve">和阶段转换</x:t>
    </x:r>
  </x:si>
  <x:si>
    <x:r>
      <x:rPr>
        <x:sz val="900"/>
        <x:color rgb="FF24323D"/>
        <x:rFont val="Hiragino Sans GB"/>
      </x:rPr>
      <x:t xml:space="preserve">transaction ID </x:t>
    </x:r>
    <x:r>
      <x:rPr>
        <x:sz val="900"/>
        <x:color rgb="FF24323D"/>
        <x:rFont val="Linux Libertine G"/>
        <x:family val="2"/>
      </x:rPr>
      <x:t xml:space="preserve">和阶段转换；状态守恒、失败原子、可审计。</x:t>
    </x:r>
  </x:si>
  <x:si>
    <x:t xml:space="preserve">T-V5_P3_T003</x:t>
  </x:si>
  <x:si>
    <x:t xml:space="preserve">V5-P3-T004</x:t>
  </x:si>
  <x:si>
    <x:r>
      <x:rPr>
        <x:sz val="900"/>
        <x:color rgb="FF24323D"/>
        <x:rFont val="Linux Libertine G"/>
        <x:family val="2"/>
      </x:rPr>
      <x:t xml:space="preserve">实现单 </x:t>
    </x:r>
    <x:r>
      <x:rPr>
        <x:sz val="900"/>
        <x:color rgb="FF24323D"/>
        <x:rFont val="Hiragino Sans GB"/>
      </x:rPr>
      <x:t xml:space="preserve">active </x:t>
    </x:r>
    <x:r>
      <x:rPr>
        <x:sz val="900"/>
        <x:color rgb="FF24323D"/>
        <x:rFont val="Linux Libertine G"/>
        <x:family val="2"/>
      </x:rPr>
      <x:t xml:space="preserve">规则与集合投影边界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</x:si>
  <x:si>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最多一支 </x:t>
    </x:r>
    <x:r>
      <x:rPr>
        <x:sz val="900"/>
        <x:color rgb="FF24323D"/>
        <x:rFont val="Hiragino Sans GB"/>
      </x:rPr>
      <x:t xml:space="preserve">active army</x:t>
    </x:r>
    <x:r>
      <x:rPr>
        <x:sz val="900"/>
        <x:color rgb="FF24323D"/>
        <x:rFont val="Linux Libertine G"/>
        <x:family val="2"/>
      </x:rPr>
      <x:t xml:space="preserve">，但权威存储已是集合；表现由 </x:t>
    </x:r>
    <x:r>
      <x:rPr>
        <x:sz val="900"/>
        <x:color rgb="FF24323D"/>
        <x:rFont val="Hiragino Sans GB"/>
      </x:rPr>
      <x:t xml:space="preserve">stable route/node ID </x:t>
    </x:r>
    <x:r>
      <x:rPr>
        <x:sz val="900"/>
        <x:color rgb="FF24323D"/>
        <x:rFont val="Linux Libertine G"/>
        <x:family val="2"/>
      </x:rPr>
      <x:t xml:space="preserve">与 </x:t>
    </x:r>
    <x:r>
      <x:rPr>
        <x:sz val="900"/>
        <x:color rgb="FF24323D"/>
        <x:rFont val="Hiragino Sans GB"/>
      </x:rPr>
      <x:t xml:space="preserve">progress </x:t>
    </x:r>
    <x:r>
      <x:rPr>
        <x:sz val="900"/>
        <x:color rgb="FF24323D"/>
        <x:rFont val="Linux Libertine G"/>
        <x:family val="2"/>
      </x:rPr>
      <x:t xml:space="preserve">重建，不以 </x:t>
    </x:r>
    <x:r>
      <x:rPr>
        <x:sz val="900"/>
        <x:color rgb="FF24323D"/>
        <x:rFont val="Hiragino Sans GB"/>
      </x:rPr>
      <x:t xml:space="preserve">Node </x:t>
    </x:r>
    <x:r>
      <x:rPr>
        <x:sz val="900"/>
        <x:color rgb="FF24323D"/>
        <x:rFont val="Linux Libertine G"/>
        <x:family val="2"/>
      </x:rPr>
      <x:t xml:space="preserve">为权威。</x:t>
    </x:r>
  </x:si>
  <x:si>
    <x:r>
      <x:rPr>
        <x:sz val="900"/>
        <x:color rgb="FF24323D"/>
        <x:rFont val="Hiragino Sans GB"/>
      </x:rPr>
      <x:t xml:space="preserve">ArmyState collection→V4 </x:t>
    </x:r>
    <x:r>
      <x:rPr>
        <x:sz val="900"/>
        <x:color rgb="FF24323D"/>
        <x:rFont val="Linux Libertine G"/>
        <x:family val="2"/>
      </x:rPr>
      <x:t xml:space="preserve">表现投影</x:t>
    </x:r>
  </x:si>
  <x:si>
    <x:r>
      <x:rPr>
        <x:sz val="900"/>
        <x:color rgb="FF24323D"/>
        <x:rFont val="Hiragino Sans GB"/>
      </x:rPr>
      <x:t xml:space="preserve">ArmyState collection→V4 </x:t>
    </x:r>
    <x:r>
      <x:rPr>
        <x:sz val="900"/>
        <x:color rgb="FF24323D"/>
        <x:rFont val="Linux Libertine G"/>
        <x:family val="2"/>
      </x:rPr>
      <x:t xml:space="preserve">表现投影；状态守恒、失败原子、可审计。</x:t>
    </x:r>
  </x:si>
  <x:si>
    <x:t xml:space="preserve">T-V5_P3_T004</x:t>
  </x:si>
  <x:si>
    <x:t xml:space="preserve">V5-P3-T005</x:t>
  </x:si>
  <x:si>
    <x:t xml:space="preserve">实现抵达幂等与命令防重入</x:t>
  </x:si>
  <x:si>
    <x:r>
      <x:rPr>
        <x:sz val="900"/>
        <x:color rgb="FF24323D"/>
        <x:rFont val="Linux Libertine G"/>
        <x:family val="2"/>
      </x:rPr>
      <x:t xml:space="preserve">重复 </x:t>
    </x:r>
    <x:r>
      <x:rPr>
        <x:sz val="900"/>
        <x:color rgb="FF24323D"/>
        <x:rFont val="Hiragino Sans GB"/>
      </x:rPr>
      <x:t xml:space="preserve">frame</x:t>
    </x:r>
    <x:r>
      <x:rPr>
        <x:sz val="900"/>
        <x:color rgb="FF24323D"/>
        <x:rFont val="Linux Libertine G"/>
        <x:family val="2"/>
      </x:rPr>
      <x:t xml:space="preserve">、信号、返回和重进不重复抵达。</x:t>
    </x:r>
  </x:si>
  <x:si>
    <x:t xml:space="preserve">arrival ledger / transaction guard</x:t>
  </x:si>
  <x:si>
    <x:r>
      <x:rPr>
        <x:sz val="900"/>
        <x:color rgb="FF24323D"/>
        <x:rFont val="Hiragino Sans GB"/>
      </x:rPr>
      <x:t xml:space="preserve">arrival ledger / transaction guard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</x:si>
  <x:si>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T-V5_P3_T005</x:t>
  </x:si>
  <x:si>
    <x:t xml:space="preserve">V5-P3-T006</x:t>
  </x:si>
  <x:si>
    <x:t xml:space="preserve">实现派遣与行军合同测试</x:t>
  </x:si>
  <x:si>
    <x:t xml:space="preserve">覆盖取消、重复确认、在途保存点、抵达一次、总兵力守恒。</x:t>
  </x:si>
  <x:si>
    <x:t xml:space="preserve">ArmyState runner</x:t>
  </x:si>
  <x:si>
    <x:t xml:space="preserve">V5-P3-T003,V5-P3-T005</x:t>
  </x:si>
  <x:si>
    <x:r>
      <x:rPr>
        <x:sz val="900"/>
        <x:color rgb="FF24323D"/>
        <x:rFont val="Hiragino Sans GB"/>
      </x:rPr>
      <x:t xml:space="preserve">ArmyState runner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</x:si>
  <x:si>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T-V5_P3_T006</x:t>
  </x:si>
  <x:si>
    <x:t xml:space="preserve">V5-P4-T001</x:t>
  </x:si>
  <x:si>
    <x:t xml:space="preserve">V5-P4</x:t>
  </x:si>
  <x:si>
    <x:r>
      <x:rPr>
        <x:sz val="900"/>
        <x:color rgb="FF24323D"/>
        <x:rFont val="Hiragino Sans GB"/>
      </x:rPr>
      <x:t xml:space="preserve">P4 </x:t>
    </x:r>
    <x:r>
      <x:rPr>
        <x:sz val="900"/>
        <x:color rgb="FF24323D"/>
        <x:rFont val="Linux Libertine G"/>
        <x:family val="2"/>
      </x:rPr>
      <x:t xml:space="preserve">战果写回</x:t>
    </x:r>
  </x:si>
  <x:si>
    <x:t xml:space="preserve">冻结遭遇结果事实边界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</x:si>
  <x:si>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复用现有极简结果，不扩新战斗；结果只描述事实。</x:t>
    </x:r>
  </x:si>
  <x:si>
    <x:t xml:space="preserve">Outcome facts schema</x:t>
  </x:si>
  <x:si>
    <x:r>
      <x:rPr>
        <x:sz val="900"/>
        <x:color rgb="FF24323D"/>
        <x:rFont val="Hiragino Sans GB"/>
      </x:rPr>
      <x:t xml:space="preserve">Outcome facts schema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</x:si>
  <x:si>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T-V5_P4_T001</x:t>
  </x:si>
  <x:si>
    <x:t xml:space="preserve">V5-P4-T002</x:t>
  </x:si>
  <x:si>
    <x:t xml:space="preserve">实现伤亡与幸存写回</x:t>
  </x:si>
  <x:si>
    <x:r>
      <x:rPr>
        <x:sz val="900"/>
        <x:color rgb="FF24323D"/>
        <x:rFont val="Linux Libertine G"/>
        <x:family val="2"/>
      </x:rPr>
      <x:t xml:space="preserve">失败、胜利分别写回损失与幸存，不直接修改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缓存。</x:t>
    </x:r>
  </x:si>
  <x:si>
    <x:r>
      <x:rPr>
        <x:sz val="900"/>
        <x:color rgb="FF24323D"/>
        <x:rFont val="Linux Libertine G"/>
        <x:family val="2"/>
      </x:rPr>
      <x:t xml:space="preserve">幂等 </x:t>
    </x:r>
    <x:r>
      <x:rPr>
        <x:sz val="900"/>
        <x:color rgb="FF24323D"/>
        <x:rFont val="Hiragino Sans GB"/>
      </x:rPr>
      <x:t xml:space="preserve">writeback command</x:t>
    </x:r>
  </x:si>
  <x:si>
    <x:t xml:space="preserve">V5-P4-T001,V5-P3-T005</x:t>
  </x:si>
  <x:si>
    <x:r>
      <x:rPr>
        <x:sz val="900"/>
        <x:color rgb="FF24323D"/>
        <x:rFont val="Linux Libertine G"/>
        <x:family val="2"/>
      </x:rPr>
      <x:t xml:space="preserve">幂等 </x:t>
    </x:r>
    <x:r>
      <x:rPr>
        <x:sz val="900"/>
        <x:color rgb="FF24323D"/>
        <x:rFont val="Hiragino Sans GB"/>
      </x:rPr>
      <x:t xml:space="preserve">writeback command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</x:si>
  <x:si>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T-V5_P4_T002</x:t>
  </x:si>
  <x:si>
    <x:t xml:space="preserve">V5-P4-T003</x:t>
  </x:si>
  <x:si>
    <x:t xml:space="preserve">实现返回或驻扎状态转换</x:t>
  </x:si>
  <x:si>
    <x:t xml:space="preserve">幸存者按结果返回来源或驻扎目标；规则由结果合同明确。</x:t>
  </x:si>
  <x:si>
    <x:t xml:space="preserve">合法状态机</x:t>
  </x:si>
  <x:si>
    <x:t xml:space="preserve">合法状态机；状态守恒、失败原子、可审计。</x:t>
  </x:si>
  <x:si>
    <x:t xml:space="preserve">T-V5_P4_T003</x:t>
  </x:si>
  <x:si>
    <x:t xml:space="preserve">V5-P4-T004</x:t>
  </x:si>
  <x:si>
    <x:t xml:space="preserve">实现重复结果与冲突结果拒绝</x:t>
  </x:si>
  <x:si>
    <x:r>
      <x:rPr>
        <x:sz val="900"/>
        <x:color rgb="FF24323D"/>
        <x:rFont val="Linux Libertine G"/>
        <x:family val="2"/>
      </x:rPr>
      <x:t xml:space="preserve">同一 </x:t>
    </x:r>
    <x:r>
      <x:rPr>
        <x:sz val="900"/>
        <x:color rgb="FF24323D"/>
        <x:rFont val="Hiragino Sans GB"/>
      </x:rPr>
      <x:t xml:space="preserve">result </x:t>
    </x:r>
    <x:r>
      <x:rPr>
        <x:sz val="900"/>
        <x:color rgb="FF24323D"/>
        <x:rFont val="Linux Libertine G"/>
        <x:family val="2"/>
      </x:rPr>
      <x:t xml:space="preserve">只应用一次；冲突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过期结果无部分写入。</x:t>
    </x:r>
  </x:si>
  <x:si>
    <x:r>
      <x:rPr>
        <x:sz val="900"/>
        <x:color rgb="FF24323D"/>
        <x:rFont val="Hiragino Sans GB"/>
      </x:rPr>
      <x:t xml:space="preserve">result ledger </x:t>
    </x:r>
    <x:r>
      <x:rPr>
        <x:sz val="900"/>
        <x:color rgb="FF24323D"/>
        <x:rFont val="Linux Libertine G"/>
        <x:family val="2"/>
      </x:rPr>
      <x:t xml:space="preserve">测试</x:t>
    </x:r>
  </x:si>
  <x:si>
    <x:t xml:space="preserve">V5-P4-T002,V5-P4-T003</x:t>
  </x:si>
  <x:si>
    <x:r>
      <x:rPr>
        <x:sz val="900"/>
        <x:color rgb="FF24323D"/>
        <x:rFont val="Hiragino Sans GB"/>
      </x:rPr>
      <x:t xml:space="preserve">result ledger </x:t>
    </x:r>
    <x:r>
      <x:rPr>
        <x:sz val="900"/>
        <x:color rgb="FF24323D"/>
        <x:rFont val="Linux Libertine G"/>
        <x:family val="2"/>
      </x:rPr>
      <x:t xml:space="preserve">测试；状态守恒、失败原子、可审计。</x:t>
    </x:r>
  </x:si>
  <x:si>
    <x:t xml:space="preserve">T-V5_P4_T004</x:t>
  </x:si>
  <x:si>
    <x:t xml:space="preserve">V5-P4-T005</x:t>
  </x:si>
  <x:si>
    <x:t xml:space="preserve">验证现有奖励事务不回退</x:t>
  </x:si>
  <x:si>
    <x:t xml:space="preserve">Regression</x:t>
  </x:si>
  <x:si>
    <x:r>
      <x:rPr>
        <x:sz val="900"/>
        <x:color rgb="FF24323D"/>
        <x:rFont val="Linux Libertine G"/>
        <x:family val="2"/>
      </x:rPr>
      <x:t xml:space="preserve">黑石堡 </x:t>
    </x:r>
    <x:r>
      <x:rPr>
        <x:sz val="900"/>
        <x:color rgb="FF24323D"/>
        <x:rFont val="Hiragino Sans GB"/>
      </x:rPr>
      <x:t xml:space="preserve">20 </x:t>
    </x:r>
    <x:r>
      <x:rPr>
        <x:sz val="900"/>
        <x:color rgb="FF24323D"/>
        <x:rFont val="Linux Libertine G"/>
        <x:family val="2"/>
      </x:rPr>
      <x:t xml:space="preserve">木材和 </x:t>
    </x:r>
    <x:r>
      <x:rPr>
        <x:sz val="900"/>
        <x:color rgb="FF24323D"/>
        <x:rFont val="Hiragino Sans GB"/>
      </x:rPr>
      <x:t xml:space="preserve">C0 </x:t>
    </x:r>
    <x:r>
      <x:rPr>
        <x:sz val="900"/>
        <x:color rgb="FF24323D"/>
        <x:rFont val="Linux Libertine G"/>
        <x:family val="2"/>
      </x:rPr>
      <x:t xml:space="preserve">首通键保持现有一次性语义。</x:t>
    </x:r>
  </x:si>
  <x:si>
    <x:r>
      <x:rPr>
        <x:sz val="900"/>
        <x:color rgb="FF24323D"/>
        <x:rFont val="Linux Libertine G"/>
        <x:family val="2"/>
      </x:rPr>
      <x:t xml:space="preserve">既有奖励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战果回归证据</x:t>
    </x:r>
  </x:si>
  <x:si>
    <x:r>
      <x:rPr>
        <x:sz val="900"/>
        <x:color rgb="FF24323D"/>
        <x:rFont val="Hiragino Sans GB"/>
      </x:rPr>
      <x:t xml:space="preserve">G3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</x:si>
  <x:si>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r>
      <x:rPr>
        <x:sz val="900"/>
        <x:color rgb="FF24323D"/>
        <x:rFont val="Linux Libertine G"/>
        <x:family val="2"/>
      </x:rPr>
      <x:t xml:space="preserve">既有奖励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战果回归证据；状态守恒、失败原子、可审计。</x:t>
    </x:r>
  </x:si>
  <x:si>
    <x:t xml:space="preserve">T-V5_P4_T005</x:t>
  </x:si>
  <x:si>
    <x:t xml:space="preserve">V5-G3</x:t>
  </x:si>
  <x:si>
    <x:t xml:space="preserve">V5-P5-T001</x:t>
  </x:si>
  <x:si>
    <x:t xml:space="preserve">V5-P5</x:t>
  </x:si>
  <x:si>
    <x:r>
      <x:rPr>
        <x:sz val="900"/>
        <x:color rgb="FF24323D"/>
        <x:rFont val="Hiragino Sans GB"/>
      </x:rPr>
      <x:t xml:space="preserve">P5 </x:t>
    </x:r>
    <x:r>
      <x:rPr>
        <x:sz val="900"/>
        <x:color rgb="FF24323D"/>
        <x:rFont val="Linux Libertine G"/>
        <x:family val="2"/>
      </x:rPr>
      <x:t xml:space="preserve">存档与迁移</x:t>
    </x:r>
  </x:si>
  <x:si>
    <x:r>
      <x:rPr>
        <x:sz val="900"/>
        <x:color rgb="FF24323D"/>
        <x:rFont val="Linux Libertine G"/>
        <x:family val="2"/>
      </x:rPr>
      <x:t xml:space="preserve">独立裁决 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是否可复用</x:t>
    </x:r>
  </x:si>
  <x:si>
    <x:r>
      <x:rPr>
        <x:sz val="900"/>
        <x:color rgb="FF24323D"/>
        <x:rFont val="Linux Libertine G"/>
        <x:family val="2"/>
      </x:rPr>
      <x:t xml:space="preserve">重新复审受保护 </x:t>
    </x:r>
    <x:r>
      <x:rPr>
        <x:sz val="900"/>
        <x:color rgb="FF24323D"/>
        <x:rFont val="Hiragino Sans GB"/>
      </x:rPr>
      <x:t xml:space="preserve">8 </x:t>
    </x:r>
    <x:r>
      <x:rPr>
        <x:sz val="900"/>
        <x:color rgb="FF24323D"/>
        <x:rFont val="Linux Libertine G"/>
        <x:family val="2"/>
      </x:rPr>
      <x:t xml:space="preserve">文件，不因代码存在就当作通过。</x:t>
    </x:r>
  </x:si>
  <x:si>
    <x:r>
      <x:rPr>
        <x:sz val="900"/>
        <x:color rgb="FF24323D"/>
        <x:rFont val="Hiragino Sans GB"/>
      </x:rPr>
      <x:t xml:space="preserve">ACCEPT/BLOCKED verdict </x:t>
    </x:r>
    <x:r>
      <x:rPr>
        <x:sz val="900"/>
        <x:color rgb="FF24323D"/>
        <x:rFont val="Linux Libertine G"/>
        <x:family val="2"/>
      </x:rPr>
      <x:t xml:space="preserve">与证据</x:t>
    </x:r>
  </x:si>
  <x:si>
    <x:r>
      <x:rPr>
        <x:sz val="900"/>
        <x:color rgb="FF24323D"/>
        <x:rFont val="Hiragino Sans GB"/>
      </x:rPr>
      <x:t xml:space="preserve">ACCEPT/BLOCKED verdict </x:t>
    </x:r>
    <x:r>
      <x:rPr>
        <x:sz val="900"/>
        <x:color rgb="FF24323D"/>
        <x:rFont val="Linux Libertine G"/>
        <x:family val="2"/>
      </x:rPr>
      <x:t xml:space="preserve">与证据；状态守恒、失败原子、可审计。</x:t>
    </x:r>
  </x:si>
  <x:si>
    <x:t xml:space="preserve">T-V5_P5_T001</x:t>
  </x:si>
  <x:si>
    <x:t xml:space="preserve">V5-P5-T002</x:t>
  </x:si>
  <x:si>
    <x:r>
      <x:rPr>
        <x:sz val="900"/>
        <x:color rgb="FF24323D"/>
        <x:rFont val="Linux Libertine G"/>
        <x:family val="2"/>
      </x:rPr>
      <x:t xml:space="preserve">定义 </x:t>
    </x:r>
    <x:r>
      <x:rPr>
        <x:sz val="900"/>
        <x:color rgb="FF24323D"/>
        <x:rFont val="Hiragino Sans GB"/>
      </x:rPr>
      <x:t xml:space="preserve">V5 save schema </x:t>
    </x:r>
    <x:r>
      <x:rPr>
        <x:sz val="900"/>
        <x:color rgb="FF24323D"/>
        <x:rFont val="Linux Libertine G"/>
        <x:family val="2"/>
      </x:rPr>
      <x:t xml:space="preserve">增量</x:t>
    </x:r>
  </x:si>
  <x:si>
    <x:r>
      <x:rPr>
        <x:sz val="900"/>
        <x:color rgb="FF24323D"/>
        <x:rFont val="Linux Libertine G"/>
        <x:family val="2"/>
      </x:rPr>
      <x:t xml:space="preserve">在验收基线上加入驻军、训练、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集合、稳定 </x:t>
    </x:r>
    <x:r>
      <x:rPr>
        <x:sz val="900"/>
        <x:color rgb="FF24323D"/>
        <x:rFont val="Hiragino Sans GB"/>
      </x:rPr>
      <x:t xml:space="preserve">route/node ID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progress </x:t>
    </x:r>
    <x:r>
      <x:rPr>
        <x:sz val="900"/>
        <x:color rgb="FF24323D"/>
        <x:rFont val="Linux Libertine G"/>
        <x:family val="2"/>
      </x:rPr>
      <x:t xml:space="preserve">与 </x:t>
    </x:r>
    <x:r>
      <x:rPr>
        <x:sz val="900"/>
        <x:color rgb="FF24323D"/>
        <x:rFont val="Hiragino Sans GB"/>
      </x:rPr>
      <x:t xml:space="preserve">ledger</x:t>
    </x:r>
    <x:r>
      <x:rPr>
        <x:sz val="900"/>
        <x:color rgb="FF24323D"/>
        <x:rFont val="Linux Libertine G"/>
        <x:family val="2"/>
      </x:rPr>
      <x:t xml:space="preserve">；不随意补字段。</x:t>
    </x:r>
  </x:si>
  <x:si>
    <x:t xml:space="preserve">version + migration contract</x:t>
  </x:si>
  <x:si>
    <x:t xml:space="preserve">V5-P5-T001,V5-P1-T002,V5-P2-T001,V5-P3-T001</x:t>
  </x:si>
  <x:si>
    <x:r>
      <x:rPr>
        <x:sz val="900"/>
        <x:color rgb="FF24323D"/>
        <x:rFont val="Hiragino Sans GB"/>
      </x:rPr>
      <x:t xml:space="preserve">version + migration contract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</x:si>
  <x:si>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T-V5_P5_T002</x:t>
  </x:si>
  <x:si>
    <x:t xml:space="preserve">V5-P5-T003</x:t>
  </x:si>
  <x:si>
    <x:r>
      <x:rPr>
        <x:sz val="900"/>
        <x:color rgb="FF24323D"/>
        <x:rFont val="Linux Libertine G"/>
        <x:family val="2"/>
      </x:rPr>
      <x:t xml:space="preserve">实现旧快照到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的迁移</x:t>
    </x:r>
  </x:si>
  <x:si>
    <x:r>
      <x:rPr>
        <x:sz val="900"/>
        <x:color rgb="FF24323D"/>
        <x:rFont val="Linux Libertine G"/>
        <x:family val="2"/>
      </x:rPr>
      <x:t xml:space="preserve">从 </x:t>
    </x:r>
    <x:r>
      <x:rPr>
        <x:sz val="900"/>
        <x:color rgb="FF24323D"/>
        <x:rFont val="Hiragino Sans GB"/>
      </x:rPr>
      <x:t xml:space="preserve">S1A.1 </x:t>
    </x:r>
    <x:r>
      <x:rPr>
        <x:sz val="900"/>
        <x:color rgb="FF24323D"/>
        <x:rFont val="Linux Libertine G"/>
        <x:family val="2"/>
      </x:rPr>
      <x:t xml:space="preserve">已有单兵力字段安全迁移；失败不污染旧状态。</x:t>
    </x:r>
  </x:si>
  <x:si>
    <x:t xml:space="preserve">migration command + rollback</x:t>
  </x:si>
  <x:si>
    <x:r>
      <x:rPr>
        <x:sz val="900"/>
        <x:color rgb="FF24323D"/>
        <x:rFont val="Hiragino Sans GB"/>
      </x:rPr>
      <x:t xml:space="preserve">migration command + rollback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</x:si>
  <x:si>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T-V5_P5_T003</x:t>
  </x:si>
  <x:si>
    <x:t xml:space="preserve">V5-P5-T004</x:t>
  </x:si>
  <x:si>
    <x:t xml:space="preserve">实现保存退出与重载闭环</x:t>
  </x:si>
  <x:si>
    <x:r>
      <x:rPr>
        <x:sz val="900"/>
        <x:color rgb="FF24323D"/>
        <x:rFont val="Linux Libertine G"/>
        <x:family val="2"/>
      </x:rPr>
      <x:t xml:space="preserve">训练、驻军、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集合（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最多一支 </x:t>
    </x:r>
    <x:r>
      <x:rPr>
        <x:sz val="900"/>
        <x:color rgb="FF24323D"/>
        <x:rFont val="Hiragino Sans GB"/>
      </x:rPr>
      <x:t xml:space="preserve">active</x:t>
    </x:r>
    <x:r>
      <x:rPr>
        <x:sz val="900"/>
        <x:color rgb="FF24323D"/>
        <x:rFont val="Linux Libertine G"/>
        <x:family val="2"/>
      </x:rPr>
      <x:t xml:space="preserve">）、稳定 </x:t>
    </x:r>
    <x:r>
      <x:rPr>
        <x:sz val="900"/>
        <x:color rgb="FF24323D"/>
        <x:rFont val="Hiragino Sans GB"/>
      </x:rPr>
      <x:t xml:space="preserve">route/node ID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progress </x:t>
    </x:r>
    <x:r>
      <x:rPr>
        <x:sz val="900"/>
        <x:color rgb="FF24323D"/>
        <x:rFont val="Linux Libertine G"/>
        <x:family val="2"/>
      </x:rPr>
      <x:t xml:space="preserve">与结果 </x:t>
    </x:r>
    <x:r>
      <x:rPr>
        <x:sz val="900"/>
        <x:color rgb="FF24323D"/>
        <x:rFont val="Hiragino Sans GB"/>
      </x:rPr>
      <x:t xml:space="preserve">ledger </x:t>
    </x:r>
    <x:r>
      <x:rPr>
        <x:sz val="900"/>
        <x:color rgb="FF24323D"/>
        <x:rFont val="Linux Libertine G"/>
        <x:family val="2"/>
      </x:rPr>
      <x:t xml:space="preserve">跨进程一致。</x:t>
    </x:r>
  </x:si>
  <x:si>
    <x:t xml:space="preserve">versioned disk roundtrip</x:t>
  </x:si>
  <x:si>
    <x:t xml:space="preserve">V5-P5-T003,V5-P3-T005,V5-P4-T004</x:t>
  </x:si>
  <x:si>
    <x:r>
      <x:rPr>
        <x:sz val="900"/>
        <x:color rgb="FF24323D"/>
        <x:rFont val="Hiragino Sans GB"/>
      </x:rPr>
      <x:t xml:space="preserve">versioned disk roundtrip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</x:si>
  <x:si>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T-V5_P5_T004</x:t>
  </x:si>
  <x:si>
    <x:t xml:space="preserve">V5-P5-T005</x:t>
  </x:si>
  <x:si>
    <x:t xml:space="preserve">实现坏档、旧版与中断恢复测试</x:t>
  </x:si>
  <x:si>
    <x:r>
      <x:rPr>
        <x:sz val="900"/>
        <x:color rgb="FF24323D"/>
        <x:rFont val="Linux Libertine G"/>
        <x:family val="2"/>
      </x:rPr>
      <x:t xml:space="preserve">覆盖不可覆盖、损坏回退、</x:t>
    </x:r>
    <x:r>
      <x:rPr>
        <x:sz val="900"/>
        <x:color rgb="FF24323D"/>
        <x:rFont val="Hiragino Sans GB"/>
      </x:rPr>
      <x:t xml:space="preserve">apply_failed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writer lock </x:t>
    </x:r>
    <x:r>
      <x:rPr>
        <x:sz val="900"/>
        <x:color rgb="FF24323D"/>
        <x:rFont val="Linux Libertine G"/>
        <x:family val="2"/>
      </x:rPr>
      <x:t xml:space="preserve">和迁移失败。</x:t>
    </x:r>
  </x:si>
  <x:si>
    <x:t xml:space="preserve">persistence matrix</x:t>
  </x:si>
  <x:si>
    <x:r>
      <x:rPr>
        <x:sz val="900"/>
        <x:color rgb="FF24323D"/>
        <x:rFont val="Hiragino Sans GB"/>
      </x:rPr>
      <x:t xml:space="preserve">persistence matrix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</x:si>
  <x:si>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T-V5_P5_T005</x:t>
  </x:si>
  <x:si>
    <x:t xml:space="preserve">V5-P6-T001</x:t>
  </x:si>
  <x:si>
    <x:t xml:space="preserve">V5-P6</x:t>
  </x:si>
  <x:si>
    <x:r>
      <x:rPr>
        <x:sz val="900"/>
        <x:color rgb="FF24323D"/>
        <x:rFont val="Hiragino Sans GB"/>
      </x:rPr>
      <x:t xml:space="preserve">P6 </x:t>
    </x:r>
    <x:r>
      <x:rPr>
        <x:sz val="900"/>
        <x:color rgb="FF24323D"/>
        <x:rFont val="Linux Libertine G"/>
        <x:family val="2"/>
      </x:rPr>
      <x:t xml:space="preserve">最小军备 </x:t>
    </x:r>
    <x:r>
      <x:rPr>
        <x:sz val="900"/>
        <x:color rgb="FF24323D"/>
        <x:rFont val="Hiragino Sans GB"/>
      </x:rPr>
      <x:t xml:space="preserve">UI</x:t>
    </x:r>
  </x:si>
  <x:si>
    <x:t xml:space="preserve">显示军营训练状态与真实原因</x:t>
  </x:si>
  <x:si>
    <x:t xml:space="preserve">UI</x:t>
  </x:si>
  <x:si>
    <x:r>
      <x:rPr>
        <x:sz val="900"/>
        <x:color rgb="FF24323D"/>
        <x:rFont val="Linux Libertine G"/>
        <x:family val="2"/>
      </x:rPr>
      <x:t xml:space="preserve">现有城市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中显示成本、完成日、队列、容量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供养阻断。</x:t>
    </x:r>
  </x:si>
  <x:si>
    <x:r>
      <x:rPr>
        <x:sz val="900"/>
        <x:color rgb="FF24323D"/>
        <x:rFont val="Linux Libertine G"/>
        <x:family val="2"/>
      </x:rPr>
      <x:t xml:space="preserve">无假按钮的最低 </x:t>
    </x:r>
    <x:r>
      <x:rPr>
        <x:sz val="900"/>
        <x:color rgb="FF24323D"/>
        <x:rFont val="Hiragino Sans GB"/>
      </x:rPr>
      <x:t xml:space="preserve">UI</x:t>
    </x:r>
  </x:si>
  <x:si>
    <x:r>
      <x:rPr>
        <x:sz val="900"/>
        <x:color rgb="FF24323D"/>
        <x:rFont val="Hiragino Sans GB"/>
      </x:rPr>
      <x:t xml:space="preserve">G4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</x:si>
  <x:si>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r>
      <x:rPr>
        <x:sz val="900"/>
        <x:color rgb="FF24323D"/>
        <x:rFont val="Linux Libertine G"/>
        <x:family val="2"/>
      </x:rPr>
      <x:t xml:space="preserve">无假按钮的最低 </x:t>
    </x:r>
    <x:r>
      <x:rPr>
        <x:sz val="900"/>
        <x:color rgb="FF24323D"/>
        <x:rFont val="Hiragino Sans GB"/>
      </x:rPr>
      <x:t xml:space="preserve">UI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</x:si>
  <x:si>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r>
      <x:rPr>
        <x:sz val="900"/>
        <x:color rgb="FF24323D"/>
        <x:rFont val="Linux Libertine G"/>
        <x:family val="2"/>
      </x:rPr>
      <x:t xml:space="preserve">真实窗口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自动辅助</x:t>
    </x:r>
  </x:si>
  <x:si>
    <x:t xml:space="preserve">T-V5_P6_T001</x:t>
  </x:si>
  <x:si>
    <x:t xml:space="preserve">V5-G4</x:t>
  </x:si>
  <x:si>
    <x:t xml:space="preserve">V5-P6-T002</x:t>
  </x:si>
  <x:si>
    <x:t xml:space="preserve">显示本城驻军、预留、在途和可派兵力</x:t>
  </x:si>
  <x:si>
    <x:t xml:space="preserve">玩家能解释兵力去向，不把一个总数当作全部状态。</x:t>
  </x:si>
  <x:si>
    <x:t xml:space="preserve">军备摘要</x:t>
  </x:si>
  <x:si>
    <x:t xml:space="preserve">V5-P1-T004,V5-P3-T003</x:t>
  </x:si>
  <x:si>
    <x:t xml:space="preserve">军备摘要；状态守恒、失败原子、可审计。</x:t>
  </x:si>
  <x:si>
    <x:t xml:space="preserve">T-V5_P6_T002</x:t>
  </x:si>
  <x:si>
    <x:t xml:space="preserve">V5-P6-T003</x:t>
  </x:si>
  <x:si>
    <x:r>
      <x:rPr>
        <x:sz val="900"/>
        <x:color rgb="FF24323D"/>
        <x:rFont val="Linux Libertine G"/>
        <x:family val="2"/>
      </x:rPr>
      <x:t xml:space="preserve">连接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调遣到真实军备数据</x:t>
    </x:r>
  </x:si>
  <x:si>
    <x:t xml:space="preserve">UI Integration</x:t>
  </x:si>
  <x:si>
    <x:t xml:space="preserve">保留手感与场景布局，只替换数据来源和结果回写。</x:t>
  </x:si>
  <x:si>
    <x:r>
      <x:rPr>
        <x:sz val="900"/>
        <x:color rgb="FF24323D"/>
        <x:rFont val="Linux Libertine G"/>
        <x:family val="2"/>
      </x:rPr>
      <x:t xml:space="preserve">可玩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调遣路径</x:t>
    </x:r>
  </x:si>
  <x:si>
    <x:t xml:space="preserve">V5-P3-T002,V5-P6-T002</x:t>
  </x:si>
  <x:si>
    <x:r>
      <x:rPr>
        <x:sz val="900"/>
        <x:color rgb="FF24323D"/>
        <x:rFont val="Linux Libertine G"/>
        <x:family val="2"/>
      </x:rPr>
      <x:t xml:space="preserve">可玩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调遣路径；状态守恒、失败原子、可审计。</x:t>
    </x:r>
  </x:si>
  <x:si>
    <x:t xml:space="preserve">T-V5_P6_T003</x:t>
  </x:si>
  <x:si>
    <x:t xml:space="preserve">V5-P7-T001</x:t>
  </x:si>
  <x:si>
    <x:t xml:space="preserve">V5-P7</x:t>
  </x:si>
  <x:si>
    <x:r>
      <x:rPr>
        <x:sz val="900"/>
        <x:color rgb="FF24323D"/>
        <x:rFont val="Hiragino Sans GB"/>
      </x:rPr>
      <x:t xml:space="preserve">P7 </x:t>
    </x:r>
    <x:r>
      <x:rPr>
        <x:sz val="900"/>
        <x:color rgb="FF24323D"/>
        <x:rFont val="Linux Libertine G"/>
        <x:family val="2"/>
      </x:rPr>
      <x:t xml:space="preserve">验证与冻结</x:t>
    </x:r>
  </x:si>
  <x:si>
    <x:r>
      <x:rPr>
        <x:sz val="900"/>
        <x:color rgb="FF24323D"/>
        <x:rFont val="Linux Libertine G"/>
        <x:family val="2"/>
      </x:rPr>
      <x:t xml:space="preserve">建立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需求—任务—测试追踪</x:t>
    </x:r>
  </x:si>
  <x:si>
    <x:t xml:space="preserve">QA</x:t>
  </x:si>
  <x:si>
    <x:t xml:space="preserve">所有关键需求至少有自动或实体验证。</x:t>
  </x:si>
  <x:si>
    <x:t xml:space="preserve">验收矩阵无关键缺口</x:t>
  </x:si>
  <x:si>
    <x:t xml:space="preserve">验收矩阵无关键缺口；状态守恒、失败原子、可审计。</x:t>
  </x:si>
  <x:si>
    <x:t xml:space="preserve">T-V5_P7_T001</x:t>
  </x:si>
  <x:si>
    <x:t xml:space="preserve">V5-P7-T002</x:t>
  </x:si>
  <x:si>
    <x:r>
      <x:rPr>
        <x:sz val="900"/>
        <x:color rgb="FF24323D"/>
        <x:rFont val="Linux Libertine G"/>
        <x:family val="2"/>
      </x:rPr>
      <x:t xml:space="preserve">运行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专项自动测试</x:t>
    </x:r>
  </x:si>
  <x:si>
    <x:t xml:space="preserve">单兵种、驻军、训练、派遣、结果、存档全部通过。</x:t>
  </x:si>
  <x:si>
    <x:t xml:space="preserve">命令、退出码、断言统计</x:t>
  </x:si>
  <x:si>
    <x:t xml:space="preserve">V5-P1-T005,V5-P2-T007,V5-P3-T006,V5-P4-T004,V5-P5-T005</x:t>
  </x:si>
  <x:si>
    <x:t xml:space="preserve">命令、退出码、断言统计；状态守恒、失败原子、可审计。</x:t>
  </x:si>
  <x:si>
    <x:t xml:space="preserve">T-V5_P7_T002</x:t>
  </x:si>
  <x:si>
    <x:t xml:space="preserve">V5-P7-T003</x:t>
  </x:si>
  <x:si>
    <x:t xml:space="preserve">运行全量回归与资源扫描</x:t>
  </x:si>
  <x:si>
    <x:r>
      <x:rPr>
        <x:sz val="900"/>
        <x:color rgb="FF24323D"/>
        <x:rFont val="Hiragino Sans GB"/>
      </x:rPr>
      <x:t xml:space="preserve">P0/P1/C0/V4 </x:t>
    </x:r>
    <x:r>
      <x:rPr>
        <x:sz val="900"/>
        <x:color rgb="FF24323D"/>
        <x:rFont val="Linux Libertine G"/>
        <x:family val="2"/>
      </x:rPr>
      <x:t xml:space="preserve">不回退，</x:t>
    </x:r>
    <x:r>
      <x:rPr>
        <x:sz val="900"/>
        <x:color rgb="FF24323D"/>
        <x:rFont val="Hiragino Sans GB"/>
      </x:rPr>
      <x:t xml:space="preserve">scene/editor/UID/diff check </x:t>
    </x:r>
    <x:r>
      <x:rPr>
        <x:sz val="900"/>
        <x:color rgb="FF24323D"/>
        <x:rFont val="Linux Libertine G"/>
        <x:family val="2"/>
      </x:rPr>
      <x:t xml:space="preserve">通过。</x:t>
    </x:r>
  </x:si>
  <x:si>
    <x:r>
      <x:rPr>
        <x:sz val="900"/>
        <x:color rgb="FF24323D"/>
        <x:rFont val="Hiragino Sans GB"/>
      </x:rPr>
      <x:t xml:space="preserve">G3 </x:t>
    </x:r>
    <x:r>
      <x:rPr>
        <x:sz val="900"/>
        <x:color rgb="FF24323D"/>
        <x:rFont val="Linux Libertine G"/>
        <x:family val="2"/>
      </x:rPr>
      <x:t xml:space="preserve">证据包</x:t>
    </x:r>
  </x:si>
  <x:si>
    <x:r>
      <x:rPr>
        <x:sz val="900"/>
        <x:color rgb="FF24323D"/>
        <x:rFont val="Hiragino Sans GB"/>
      </x:rPr>
      <x:t xml:space="preserve">G3 </x:t>
    </x:r>
    <x:r>
      <x:rPr>
        <x:sz val="900"/>
        <x:color rgb="FF24323D"/>
        <x:rFont val="Linux Libertine G"/>
        <x:family val="2"/>
      </x:rPr>
      <x:t xml:space="preserve">证据包；状态守恒、失败原子、可审计。</x:t>
    </x:r>
  </x:si>
  <x:si>
    <x:t xml:space="preserve">T-V5_P7_T003</x:t>
  </x:si>
  <x:si>
    <x:t xml:space="preserve">V5-P7-T004</x:t>
  </x:si>
  <x:si>
    <x:r>
      <x:rPr>
        <x:sz val="900"/>
        <x:color rgb="FF24323D"/>
        <x:rFont val="Linux Libertine G"/>
        <x:family val="2"/>
      </x:rPr>
      <x:t xml:space="preserve">完成真实窗口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垂直闭环</x:t>
    </x:r>
  </x:si>
  <x:si>
    <x:t xml:space="preserve">Manual QA</x:t>
  </x:si>
  <x:si>
    <x:t xml:space="preserve">训练→驻军→派遣→结果→写回→保存→重载全程实体操作。</x:t>
  </x:si>
  <x:si>
    <x:r>
      <x:rPr>
        <x:sz val="900"/>
        <x:color rgb="FF24323D"/>
        <x:rFont val="Linux Libertine G"/>
        <x:family val="2"/>
      </x:rPr>
      <x:t xml:space="preserve">截图、日志、</x:t>
    </x:r>
    <x:r>
      <x:rPr>
        <x:sz val="900"/>
        <x:color rgb="FF24323D"/>
        <x:rFont val="Hiragino Sans GB"/>
      </x:rPr>
      <x:t xml:space="preserve">branch/commit/PID</x:t>
    </x:r>
  </x:si>
  <x:si>
    <x:t xml:space="preserve">V5-P6-T003,V5-P5-T004,V5-P7-T003</x:t>
  </x:si>
  <x:si>
    <x:r>
      <x:rPr>
        <x:sz val="900"/>
        <x:color rgb="FF24323D"/>
        <x:rFont val="Linux Libertine G"/>
        <x:family val="2"/>
      </x:rPr>
      <x:t xml:space="preserve">截图、日志、</x:t>
    </x:r>
    <x:r>
      <x:rPr>
        <x:sz val="900"/>
        <x:color rgb="FF24323D"/>
        <x:rFont val="Hiragino Sans GB"/>
      </x:rPr>
      <x:t xml:space="preserve">branch/commit/PID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</x:si>
  <x:si>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T-V5_P7_T004</x:t>
  </x:si>
  <x:si>
    <x:t xml:space="preserve">V5-P7-T005</x:t>
  </x:si>
  <x:si>
    <x:r>
      <x:rPr>
        <x:sz val="900"/>
        <x:color rgb="FF24323D"/>
        <x:rFont val="Linux Libertine G"/>
        <x:family val="2"/>
      </x:rPr>
      <x:t xml:space="preserve">执行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独立 </x:t>
    </x:r>
    <x:r>
      <x:rPr>
        <x:sz val="900"/>
        <x:color rgb="FF24323D"/>
        <x:rFont val="Hiragino Sans GB"/>
      </x:rPr>
      <x:t xml:space="preserve">Agent </x:t>
    </x:r>
    <x:r>
      <x:rPr>
        <x:sz val="900"/>
        <x:color rgb="FF24323D"/>
        <x:rFont val="Linux Libertine G"/>
        <x:family val="2"/>
      </x:rPr>
      <x:t xml:space="preserve">复查</x:t>
    </x:r>
  </x:si>
  <x:si>
    <x:t xml:space="preserve">复查权威状态、守恒、迁移、幂等和测试证据。</x:t>
  </x:si>
  <x:si>
    <x:t xml:space="preserve">G5 verdict</x:t>
  </x:si>
  <x:si>
    <x:r>
      <x:rPr>
        <x:sz val="900"/>
        <x:color rgb="FF24323D"/>
        <x:rFont val="Hiragino Sans GB"/>
      </x:rPr>
      <x:t xml:space="preserve">G5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</x:si>
  <x:si>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r>
      <x:rPr>
        <x:sz val="900"/>
        <x:color rgb="FF24323D"/>
        <x:rFont val="Hiragino Sans GB"/>
      </x:rPr>
      <x:t xml:space="preserve">G5 verdict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</x:si>
  <x:si>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T-V5_P7_T005</x:t>
  </x:si>
  <x:si>
    <x:t xml:space="preserve">V5-G5</x:t>
  </x:si>
  <x:si>
    <x:t xml:space="preserve">V5-P7-T006</x:t>
  </x:si>
  <x:si>
    <x:t xml:space="preserve">修复复查问题并再次复查</x:t>
  </x:si>
  <x:si>
    <x:t xml:space="preserve">Fix/Review</x:t>
  </x:si>
  <x:si>
    <x:r>
      <x:rPr>
        <x:sz val="900"/>
        <x:color rgb="FF24323D"/>
        <x:rFont val="Linux Libertine G"/>
        <x:family val="2"/>
      </x:rPr>
      <x:t xml:space="preserve">只在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范围修复阻断项；失败返回 </x:t>
    </x:r>
    <x:r>
      <x:rPr>
        <x:sz val="900"/>
        <x:color rgb="FF24323D"/>
        <x:rFont val="Hiragino Sans GB"/>
      </x:rPr>
      <x:t xml:space="preserve">REVIEW_FAILED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</x:si>
  <x:si>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最终无阻断 </x:t>
    </x:r>
    <x:r>
      <x:rPr>
        <x:sz val="900"/>
        <x:color rgb="FF24323D"/>
        <x:rFont val="Hiragino Sans GB"/>
      </x:rPr>
      <x:t xml:space="preserve">verdict</x:t>
    </x:r>
  </x:si>
  <x:si>
    <x:r>
      <x:rPr>
        <x:sz val="900"/>
        <x:color rgb="FF24323D"/>
        <x:rFont val="Linux Libertine G"/>
        <x:family val="2"/>
      </x:rPr>
      <x:t xml:space="preserve">最终无阻断 </x:t>
    </x:r>
    <x:r>
      <x:rPr>
        <x:sz val="900"/>
        <x:color rgb="FF24323D"/>
        <x:rFont val="Hiragino Sans GB"/>
      </x:rPr>
      <x:t xml:space="preserve">verdict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</x:si>
  <x:si>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T-V5_P7_T006</x:t>
  </x:si>
  <x:si>
    <x:t xml:space="preserve">V5-P7-T007</x:t>
  </x:si>
  <x:si>
    <x:t xml:space="preserve">用户试玩、阶段冻结与回滚包</x:t>
  </x:si>
  <x:si>
    <x:r>
      <x:rPr>
        <x:sz val="900"/>
        <x:color rgb="FF24323D"/>
        <x:rFont val="Linux Libertine G"/>
        <x:family val="2"/>
      </x:rPr>
      <x:t xml:space="preserve">用户判断 </x:t>
    </x:r>
    <x:r>
      <x:rPr>
        <x:sz val="900"/>
        <x:color rgb="FF24323D"/>
        <x:rFont val="Hiragino Sans GB"/>
      </x:rPr>
      <x:t xml:space="preserve">10–15 </x:t>
    </x:r>
    <x:r>
      <x:rPr>
        <x:sz val="900"/>
        <x:color rgb="FF24323D"/>
        <x:rFont val="Linux Libertine G"/>
        <x:family val="2"/>
      </x:rPr>
      <x:t xml:space="preserve">分钟闭环；只提交已验收文件。</x:t>
    </x:r>
  </x:si>
  <x:si>
    <x:r>
      <x:rPr>
        <x:sz val="900"/>
        <x:color rgb="FF24323D"/>
        <x:rFont val="Hiragino Sans GB"/>
      </x:rPr>
      <x:t xml:space="preserve">V5 freeze commit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closeout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clean status</x:t>
    </x:r>
  </x:si>
  <x:si>
    <x:r>
      <x:rPr>
        <x:sz val="900"/>
        <x:color rgb="FF24323D"/>
        <x:rFont val="Hiragino Sans GB"/>
      </x:rPr>
      <x:t xml:space="preserve">G6 </x:t>
    </x:r>
    <x:r>
      <x:rPr>
        <x:sz val="900"/>
        <x:color rgb="FF24323D"/>
        <x:rFont val="Linux Libertine G"/>
        <x:family val="2"/>
      </x:rPr>
      <x:t xml:space="preserve">前置条件满足</x:t>
    </x:r>
  </x:si>
  <x:si>
    <x:r>
      <x:rPr>
        <x:sz val="900"/>
        <x:color rgb="FF24323D"/>
        <x:rFont val="Hiragino Sans GB"/>
      </x:rPr>
      <x:t xml:space="preserve">V5 freeze commit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closeout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clean status</x:t>
    </x:r>
    <x:r>
      <x:rPr>
        <x:sz val="900"/>
        <x:color rgb="FF24323D"/>
        <x:rFont val="Linux Libertine G"/>
        <x:family val="2"/>
      </x:rPr>
      <x:t xml:space="preserve">；状态守恒、失败原子、可审计。</x:t>
    </x:r>
  </x:si>
  <x:si>
    <x:t xml:space="preserve">T-V5_P7_T007</x:t>
  </x:si>
  <x:si>
    <x:t xml:space="preserve">V5-G6</x:t>
  </x:si>
  <x:si>
    <x:t xml:space="preserve">V6-P0-T001</x:t>
  </x:si>
  <x:si>
    <x:t xml:space="preserve">V6-P0</x:t>
  </x:si>
  <x:si>
    <x:r>
      <x:rPr>
        <x:sz val="900"/>
        <x:color rgb="FF24323D"/>
        <x:rFont val="Hiragino Sans GB"/>
      </x:rPr>
      <x:t xml:space="preserve">P0 </x:t>
    </x:r>
    <x:r>
      <x:rPr>
        <x:sz val="900"/>
        <x:color rgb="FF24323D"/>
        <x:rFont val="Linux Libertine G"/>
        <x:family val="2"/>
      </x:rPr>
      <x:t xml:space="preserve">合同</x:t>
    </x:r>
  </x:si>
  <x:si>
    <x:t xml:space="preserve">冻结持久外城状态所有权</x:t>
  </x:si>
  <x:si>
    <x:t xml:space="preserve">战略节点、道路、军队与城市引用唯一写入者。</x:t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</x:si>
  <x:si>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中度拆解；阶段开始前必须依据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实际接口再细化。</x:t>
    </x:r>
  </x:si>
  <x:si>
    <x:r>
      <x:rPr>
        <x:sz val="900"/>
        <x:color rgb="FF24323D"/>
        <x:rFont val="Linux Libertine G"/>
        <x:family val="2"/>
      </x:rPr>
      <x:t xml:space="preserve">不实现完整遭遇战、攻城表现、第二兵种、敌方 </x:t>
    </x:r>
    <x:r>
      <x:rPr>
        <x:sz val="900"/>
        <x:color rgb="FF24323D"/>
        <x:rFont val="Hiragino Sans GB"/>
      </x:rPr>
      <x:t xml:space="preserve">AI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</x:si>
  <x:si>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阶段开始前查重登记</x:t>
  </x:si>
  <x:si>
    <x:t xml:space="preserve">V5 VERIFIED</x:t>
  </x:si>
  <x:si>
    <x:r>
      <x:rPr>
        <x:sz val="900"/>
        <x:color rgb="FF24323D"/>
        <x:rFont val="Hiragino Sans GB"/>
      </x:rPr>
      <x:t xml:space="preserve">V5 VERIFIED </x:t>
    </x:r>
    <x:r>
      <x:rPr>
        <x:sz val="900"/>
        <x:color rgb="FF24323D"/>
        <x:rFont val="Linux Libertine G"/>
        <x:family val="2"/>
      </x:rPr>
      <x:t xml:space="preserve">且当前任务前置完成</x:t>
    </x:r>
  </x:si>
  <x:si>
    <x:t xml:space="preserve">战略节点、道路、军队与城市引用唯一写入者。；无第二世界状态；失败可回滚。</x:t>
  </x:si>
  <x:si>
    <x:r>
      <x:rPr>
        <x:sz val="900"/>
        <x:color rgb="FF24323D"/>
        <x:rFont val="Linux Libertine G"/>
        <x:family val="2"/>
      </x:rPr>
      <x:t xml:space="preserve">自动测试 </x:t>
    </x:r>
    <x:r>
      <x:rPr>
        <x:sz val="900"/>
        <x:color rgb="FF24323D"/>
        <x:rFont val="Hiragino Sans GB"/>
      </x:rPr>
      <x:t xml:space="preserve">/ </x:t>
    </x:r>
    <x:r>
      <x:rPr>
        <x:sz val="900"/>
        <x:color rgb="FF24323D"/>
        <x:rFont val="Linux Libertine G"/>
        <x:family val="2"/>
      </x:rPr>
      <x:t xml:space="preserve">独立复查</x:t>
    </x:r>
  </x:si>
  <x:si>
    <x:t xml:space="preserve">T-V6_P0_T001</x:t>
  </x:si>
  <x:si>
    <x:r>
      <x:rPr>
        <x:sz val="900"/>
        <x:color rgb="FF24323D"/>
        <x:rFont val="Linux Libertine G"/>
        <x:family val="2"/>
      </x:rPr>
      <x:t xml:space="preserve">回到上一 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工作包提交</x:t>
    </x:r>
  </x:si>
  <x:si>
    <x:r>
      <x:rPr>
        <x:sz val="900"/>
        <x:color rgb="FF24323D"/>
        <x:rFont val="Linux Libertine G"/>
        <x:family val="2"/>
      </x:rPr>
      <x:t xml:space="preserve">需要复制 </x:t>
    </x:r>
    <x:r>
      <x:rPr>
        <x:sz val="900"/>
        <x:color rgb="FF24323D"/>
        <x:rFont val="Hiragino Sans GB"/>
      </x:rPr>
      <x:t xml:space="preserve">CityState</x:t>
    </x:r>
    <x:r>
      <x:rPr>
        <x:sz val="900"/>
        <x:color rgb="FF24323D"/>
        <x:rFont val="Linux Libertine G"/>
        <x:family val="2"/>
      </x:rPr>
      <x:t xml:space="preserve">、模型仍依赖单 </x:t>
    </x:r>
    <x:r>
      <x:rPr>
        <x:sz val="900"/>
        <x:color rgb="FF24323D"/>
        <x:rFont val="Hiragino Sans GB"/>
      </x:rPr>
      <x:t xml:space="preserve">active army</x:t>
    </x:r>
    <x:r>
      <x:rPr>
        <x:sz val="900"/>
        <x:color rgb="FF24323D"/>
        <x:rFont val="Linux Libertine G"/>
        <x:family val="2"/>
      </x:rPr>
      <x:t xml:space="preserve">、迁移不安全。</x:t>
    </x:r>
  </x:si>
  <x:si>
    <x:t xml:space="preserve">Stage reviewer</x:t>
  </x:si>
  <x:si>
    <x:t xml:space="preserve">V6-G0,V6-G1</x:t>
  </x:si>
  <x:si>
    <x:t xml:space="preserve">V6-P0-T002</x:t>
  </x:si>
  <x:si>
    <x:r>
      <x:rPr>
        <x:sz val="900"/>
        <x:color rgb="FF24323D"/>
        <x:rFont val="Linux Libertine G"/>
        <x:family val="2"/>
      </x:rPr>
      <x:t xml:space="preserve">定义 </x:t>
    </x:r>
    <x:r>
      <x:rPr>
        <x:sz val="900"/>
        <x:color rgb="FF24323D"/>
        <x:rFont val="Hiragino Sans GB"/>
      </x:rPr>
      <x:t xml:space="preserve">RouteState </x:t>
    </x:r>
    <x:r>
      <x:rPr>
        <x:sz val="900"/>
        <x:color rgb="FF24323D"/>
        <x:rFont val="Linux Libertine G"/>
        <x:family val="2"/>
      </x:rPr>
      <x:t xml:space="preserve">与位置表示</x:t>
    </x:r>
  </x:si>
  <x:si>
    <x:t xml:space="preserve">路线端点、进度、状态和阻断事实，不存像素。</x:t>
  </x:si>
  <x:si>
    <x:t xml:space="preserve">路线端点、进度、状态和阻断事实，不存像素。；无第二世界状态；失败可回滚。</x:t>
  </x:si>
  <x:si>
    <x:t xml:space="preserve">T-V6_P0_T002</x:t>
  </x:si>
  <x:si>
    <x:t xml:space="preserve">V6-G1</x:t>
  </x:si>
  <x:si>
    <x:t xml:space="preserve">V6-P1-T001</x:t>
  </x:si>
  <x:si>
    <x:t xml:space="preserve">V6-P1</x:t>
  </x:si>
  <x:si>
    <x:r>
      <x:rPr>
        <x:sz val="900"/>
        <x:color rgb="FF24323D"/>
        <x:rFont val="Hiragino Sans GB"/>
      </x:rPr>
      <x:t xml:space="preserve">P1 </x:t>
    </x:r>
    <x:r>
      <x:rPr>
        <x:sz val="900"/>
        <x:color rgb="FF24323D"/>
        <x:rFont val="Linux Libertine G"/>
        <x:family val="2"/>
      </x:rPr>
      <x:t xml:space="preserve">多军队</x:t>
    </x:r>
  </x:si>
  <x:si>
    <x:r>
      <x:rPr>
        <x:sz val="900"/>
        <x:color rgb="FF24323D"/>
        <x:rFont val="Linux Libertine G"/>
        <x:family val="2"/>
      </x:rPr>
      <x:t xml:space="preserve">在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集合容器上启用多 </x:t>
    </x:r>
    <x:r>
      <x:rPr>
        <x:sz val="900"/>
        <x:color rgb="FF24323D"/>
        <x:rFont val="Hiragino Sans GB"/>
      </x:rPr>
      <x:t xml:space="preserve">active army</x:t>
    </x:r>
  </x:si>
  <x:si>
    <x:r>
      <x:rPr>
        <x:sz val="900"/>
        <x:color rgb="FF24323D"/>
        <x:rFont val="Linux Libertine G"/>
        <x:family val="2"/>
      </x:rPr>
      <x:t xml:space="preserve">不更换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容器；解除最多一支 </x:t>
    </x:r>
    <x:r>
      <x:rPr>
        <x:sz val="900"/>
        <x:color rgb="FF24323D"/>
        <x:rFont val="Hiragino Sans GB"/>
      </x:rPr>
      <x:t xml:space="preserve">active </x:t>
    </x:r>
    <x:r>
      <x:rPr>
        <x:sz val="900"/>
        <x:color rgb="FF24323D"/>
        <x:rFont val="Linux Libertine G"/>
        <x:family val="2"/>
      </x:rPr>
      <x:t xml:space="preserve">的阶段限制并保持稳定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</x:si>
  <x:si>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不更换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容器；解除最多一支 </x:t>
    </x:r>
    <x:r>
      <x:rPr>
        <x:sz val="900"/>
        <x:color rgb="FF24323D"/>
        <x:rFont val="Hiragino Sans GB"/>
      </x:rPr>
      <x:t xml:space="preserve">active </x:t>
    </x:r>
    <x:r>
      <x:rPr>
        <x:sz val="900"/>
        <x:color rgb="FF24323D"/>
        <x:rFont val="Linux Libertine G"/>
        <x:family val="2"/>
      </x:rPr>
      <x:t xml:space="preserve">的阶段限制并保持稳定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。；无第二世界状态；失败可回滚。</x:t>
    </x:r>
  </x:si>
  <x:si>
    <x:t xml:space="preserve">T-V6_P1_T001</x:t>
  </x:si>
  <x:si>
    <x:t xml:space="preserve">V6-G2</x:t>
  </x:si>
  <x:si>
    <x:t xml:space="preserve">V6-P1-T002</x:t>
  </x:si>
  <x:si>
    <x:t xml:space="preserve">实现多军队守恒与并发预留</x:t>
  </x:si>
  <x:si>
    <x:t xml:space="preserve">多个在途对象不复制驻军或互相覆盖。</x:t>
  </x:si>
  <x:si>
    <x:t xml:space="preserve">多个在途对象不复制驻军或互相覆盖。；无第二世界状态；失败可回滚。</x:t>
  </x:si>
  <x:si>
    <x:t xml:space="preserve">T-V6_P1_T002</x:t>
  </x:si>
  <x:si>
    <x:t xml:space="preserve">V6-P1-T003</x:t>
  </x:si>
  <x:si>
    <x:t xml:space="preserve">实现驻扎与本地驻军写回</x:t>
  </x:si>
  <x:si>
    <x:t xml:space="preserve">到达友方据点后形成持久驻扎。</x:t>
  </x:si>
  <x:si>
    <x:t xml:space="preserve">到达友方据点后形成持久驻扎。；无第二世界状态；失败可回滚。</x:t>
  </x:si>
  <x:si>
    <x:t xml:space="preserve">T-V6_P1_T003</x:t>
  </x:si>
  <x:si>
    <x:t xml:space="preserve">V6-P1-T004</x:t>
  </x:si>
  <x:si>
    <x:t xml:space="preserve">实现支援与进攻命令合同</x:t>
  </x:si>
  <x:si>
    <x:t xml:space="preserve">合法相邻路线、成本与一次性提交。</x:t>
  </x:si>
  <x:si>
    <x:t xml:space="preserve">合法相邻路线、成本与一次性提交。；无第二世界状态；失败可回滚。</x:t>
  </x:si>
  <x:si>
    <x:t xml:space="preserve">T-V6_P1_T004</x:t>
  </x:si>
  <x:si>
    <x:t xml:space="preserve">V6-P1-T005</x:t>
  </x:si>
  <x:si>
    <x:t xml:space="preserve">实现返回命令与来源恢复</x:t>
  </x:si>
  <x:si>
    <x:r>
      <x:rPr>
        <x:sz val="900"/>
        <x:color rgb="FF24323D"/>
        <x:rFont val="Linux Libertine G"/>
        <x:family val="2"/>
      </x:rPr>
      <x:t xml:space="preserve">返回不是复制；中断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失败可恢复。</x:t>
    </x:r>
  </x:si>
  <x:si>
    <x:r>
      <x:rPr>
        <x:sz val="900"/>
        <x:color rgb="FF24323D"/>
        <x:rFont val="Linux Libertine G"/>
        <x:family val="2"/>
      </x:rPr>
      <x:t xml:space="preserve">返回不是复制；中断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失败可恢复。；无第二世界状态；失败可回滚。</x:t>
    </x:r>
  </x:si>
  <x:si>
    <x:t xml:space="preserve">T-V6_P1_T005</x:t>
  </x:si>
  <x:si>
    <x:t xml:space="preserve">V6-P2-T001</x:t>
  </x:si>
  <x:si>
    <x:t xml:space="preserve">V6-P2</x:t>
  </x:si>
  <x:si>
    <x:r>
      <x:rPr>
        <x:sz val="900"/>
        <x:color rgb="FF24323D"/>
        <x:rFont val="Hiragino Sans GB"/>
      </x:rPr>
      <x:t xml:space="preserve">P2 </x:t>
    </x:r>
    <x:r>
      <x:rPr>
        <x:sz val="900"/>
        <x:color rgb="FF24323D"/>
        <x:rFont val="Linux Libertine G"/>
        <x:family val="2"/>
      </x:rPr>
      <x:t xml:space="preserve">行军持久化</x:t>
    </x:r>
  </x:si>
  <x:si>
    <x:t xml:space="preserve">扩展多军队行军保存与恢复</x:t>
  </x:si>
  <x:si>
    <x:t xml:space="preserve">Persistence</x:t>
  </x:si>
  <x:si>
    <x:r>
      <x:rPr>
        <x:sz val="900"/>
        <x:color rgb="FF24323D"/>
        <x:rFont val="Linux Libertine G"/>
        <x:family val="2"/>
      </x:rPr>
      <x:t xml:space="preserve">复用 </x:t>
    </x:r>
    <x:r>
      <x:rPr>
        <x:sz val="900"/>
        <x:color rgb="FF24323D"/>
        <x:rFont val="Hiragino Sans GB"/>
      </x:rPr>
      <x:t xml:space="preserve">V5 route/node/progress </x:t>
    </x:r>
    <x:r>
      <x:rPr>
        <x:sz val="900"/>
        <x:color rgb="FF24323D"/>
        <x:rFont val="Linux Libertine G"/>
        <x:family val="2"/>
      </x:rPr>
      <x:t xml:space="preserve">字段，增加并发时间基准与多事务恢复。</x:t>
    </x:r>
  </x:si>
  <x:si>
    <x:r>
      <x:rPr>
        <x:sz val="900"/>
        <x:color rgb="FF24323D"/>
        <x:rFont val="Linux Libertine G"/>
        <x:family val="2"/>
      </x:rPr>
      <x:t xml:space="preserve">复用 </x:t>
    </x:r>
    <x:r>
      <x:rPr>
        <x:sz val="900"/>
        <x:color rgb="FF24323D"/>
        <x:rFont val="Hiragino Sans GB"/>
      </x:rPr>
      <x:t xml:space="preserve">V5 route/node/progress </x:t>
    </x:r>
    <x:r>
      <x:rPr>
        <x:sz val="900"/>
        <x:color rgb="FF24323D"/>
        <x:rFont val="Linux Libertine G"/>
        <x:family val="2"/>
      </x:rPr>
      <x:t xml:space="preserve">字段，增加并发时间基准与多事务恢复。；无第二世界状态；失败可回滚。</x:t>
    </x:r>
  </x:si>
  <x:si>
    <x:t xml:space="preserve">T-V6_P2_T001</x:t>
  </x:si>
  <x:si>
    <x:t xml:space="preserve">V6-P2-T002</x:t>
  </x:si>
  <x:si>
    <x:t xml:space="preserve">完整战区场景重进重建军队表现</x:t>
  </x:si>
  <x:si>
    <x:t xml:space="preserve">Integration</x:t>
  </x:si>
  <x:si>
    <x:r>
      <x:rPr>
        <x:sz val="900"/>
        <x:color rgb="FF24323D"/>
        <x:rFont val="Linux Libertine G"/>
        <x:family val="2"/>
      </x:rPr>
      <x:t xml:space="preserve">从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集合和 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战区状态投影，不让 </x:t>
    </x:r>
    <x:r>
      <x:rPr>
        <x:sz val="900"/>
        <x:color rgb="FF24323D"/>
        <x:rFont val="Hiragino Sans GB"/>
      </x:rPr>
      <x:t xml:space="preserve">Node </x:t>
    </x:r>
    <x:r>
      <x:rPr>
        <x:sz val="900"/>
        <x:color rgb="FF24323D"/>
        <x:rFont val="Linux Libertine G"/>
        <x:family val="2"/>
      </x:rPr>
      <x:t xml:space="preserve">成为真相。</x:t>
    </x:r>
  </x:si>
  <x:si>
    <x:r>
      <x:rPr>
        <x:sz val="900"/>
        <x:color rgb="FF24323D"/>
        <x:rFont val="Linux Libertine G"/>
        <x:family val="2"/>
      </x:rPr>
      <x:t xml:space="preserve">从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集合和 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战区状态投影，不让 </x:t>
    </x:r>
    <x:r>
      <x:rPr>
        <x:sz val="900"/>
        <x:color rgb="FF24323D"/>
        <x:rFont val="Hiragino Sans GB"/>
      </x:rPr>
      <x:t xml:space="preserve">Node </x:t>
    </x:r>
    <x:r>
      <x:rPr>
        <x:sz val="900"/>
        <x:color rgb="FF24323D"/>
        <x:rFont val="Linux Libertine G"/>
        <x:family val="2"/>
      </x:rPr>
      <x:t xml:space="preserve">成为真相。；无第二世界状态；失败可回滚。</x:t>
    </x:r>
  </x:si>
  <x:si>
    <x:t xml:space="preserve">T-V6_P2_T002</x:t>
  </x:si>
  <x:si>
    <x:t xml:space="preserve">V6-P3-T001</x:t>
  </x:si>
  <x:si>
    <x:t xml:space="preserve">V6-P3</x:t>
  </x:si>
  <x:si>
    <x:r>
      <x:rPr>
        <x:sz val="900"/>
        <x:color rgb="FF24323D"/>
        <x:rFont val="Hiragino Sans GB"/>
      </x:rPr>
      <x:t xml:space="preserve">P3 </x:t>
    </x:r>
    <x:r>
      <x:rPr>
        <x:sz val="900"/>
        <x:color rgb="FF24323D"/>
        <x:rFont val="Linux Libertine G"/>
        <x:family val="2"/>
      </x:rPr>
      <x:t xml:space="preserve">触发合同</x:t>
    </x:r>
  </x:si>
  <x:si>
    <x:t xml:space="preserve">定义两军相遇触发事实</x:t>
  </x:si>
  <x:si>
    <x:r>
      <x:rPr>
        <x:sz val="900"/>
        <x:color rgb="FF24323D"/>
        <x:rFont val="Linux Libertine G"/>
        <x:family val="2"/>
      </x:rPr>
      <x:t xml:space="preserve">只创建 </x:t>
    </x:r>
    <x:r>
      <x:rPr>
        <x:sz val="900"/>
        <x:color rgb="FF24323D"/>
        <x:rFont val="Hiragino Sans GB"/>
      </x:rPr>
      <x:t xml:space="preserve">encounter request</x:t>
    </x:r>
    <x:r>
      <x:rPr>
        <x:sz val="900"/>
        <x:color rgb="FF24323D"/>
        <x:rFont val="Linux Libertine G"/>
        <x:family val="2"/>
      </x:rPr>
      <x:t xml:space="preserve">，不实现 </x:t>
    </x:r>
    <x:r>
      <x:rPr>
        <x:sz val="900"/>
        <x:color rgb="FF24323D"/>
        <x:rFont val="Hiragino Sans GB"/>
      </x:rPr>
      <x:t xml:space="preserve">V7 </x:t>
    </x:r>
    <x:r>
      <x:rPr>
        <x:sz val="900"/>
        <x:color rgb="FF24323D"/>
        <x:rFont val="Linux Libertine G"/>
        <x:family val="2"/>
      </x:rPr>
      <x:t xml:space="preserve">战斗。</x:t>
    </x:r>
  </x:si>
  <x:si>
    <x:r>
      <x:rPr>
        <x:sz val="900"/>
        <x:color rgb="FF24323D"/>
        <x:rFont val="Linux Libertine G"/>
        <x:family val="2"/>
      </x:rPr>
      <x:t xml:space="preserve">只创建 </x:t>
    </x:r>
    <x:r>
      <x:rPr>
        <x:sz val="900"/>
        <x:color rgb="FF24323D"/>
        <x:rFont val="Hiragino Sans GB"/>
      </x:rPr>
      <x:t xml:space="preserve">encounter request</x:t>
    </x:r>
    <x:r>
      <x:rPr>
        <x:sz val="900"/>
        <x:color rgb="FF24323D"/>
        <x:rFont val="Linux Libertine G"/>
        <x:family val="2"/>
      </x:rPr>
      <x:t xml:space="preserve">，不实现 </x:t>
    </x:r>
    <x:r>
      <x:rPr>
        <x:sz val="900"/>
        <x:color rgb="FF24323D"/>
        <x:rFont val="Hiragino Sans GB"/>
      </x:rPr>
      <x:t xml:space="preserve">V7 </x:t>
    </x:r>
    <x:r>
      <x:rPr>
        <x:sz val="900"/>
        <x:color rgb="FF24323D"/>
        <x:rFont val="Linux Libertine G"/>
        <x:family val="2"/>
      </x:rPr>
      <x:t xml:space="preserve">战斗。；无第二世界状态；失败可回滚。</x:t>
    </x:r>
  </x:si>
  <x:si>
    <x:t xml:space="preserve">T-V6_P3_T001</x:t>
  </x:si>
  <x:si>
    <x:t xml:space="preserve">V6-P3-T002</x:t>
  </x:si>
  <x:si>
    <x:t xml:space="preserve">定义抵达敌城的围城触发事实</x:t>
  </x:si>
  <x:si>
    <x:r>
      <x:rPr>
        <x:sz val="900"/>
        <x:color rgb="FF24323D"/>
        <x:rFont val="Linux Libertine G"/>
        <x:family val="2"/>
      </x:rPr>
      <x:t xml:space="preserve">只创建 </x:t>
    </x:r>
    <x:r>
      <x:rPr>
        <x:sz val="900"/>
        <x:color rgb="FF24323D"/>
        <x:rFont val="Hiragino Sans GB"/>
      </x:rPr>
      <x:t xml:space="preserve">siege pending fact</x:t>
    </x:r>
    <x:r>
      <x:rPr>
        <x:sz val="900"/>
        <x:color rgb="FF24323D"/>
        <x:rFont val="Linux Libertine G"/>
        <x:family val="2"/>
      </x:rPr>
      <x:t xml:space="preserve">，不实现 </x:t>
    </x:r>
    <x:r>
      <x:rPr>
        <x:sz val="900"/>
        <x:color rgb="FF24323D"/>
        <x:rFont val="Hiragino Sans GB"/>
      </x:rPr>
      <x:t xml:space="preserve">V8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</x:si>
  <x:si>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只创建 </x:t>
    </x:r>
    <x:r>
      <x:rPr>
        <x:sz val="900"/>
        <x:color rgb="FF24323D"/>
        <x:rFont val="Hiragino Sans GB"/>
      </x:rPr>
      <x:t xml:space="preserve">siege pending fact</x:t>
    </x:r>
    <x:r>
      <x:rPr>
        <x:sz val="900"/>
        <x:color rgb="FF24323D"/>
        <x:rFont val="Linux Libertine G"/>
        <x:family val="2"/>
      </x:rPr>
      <x:t xml:space="preserve">，不实现 </x:t>
    </x:r>
    <x:r>
      <x:rPr>
        <x:sz val="900"/>
        <x:color rgb="FF24323D"/>
        <x:rFont val="Hiragino Sans GB"/>
      </x:rPr>
      <x:t xml:space="preserve">V8</x:t>
    </x:r>
    <x:r>
      <x:rPr>
        <x:sz val="900"/>
        <x:color rgb="FF24323D"/>
        <x:rFont val="Linux Libertine G"/>
        <x:family val="2"/>
      </x:rPr>
      <x:t xml:space="preserve">。；无第二世界状态；失败可回滚。</x:t>
    </x:r>
  </x:si>
  <x:si>
    <x:t xml:space="preserve">T-V6_P3_T002</x:t>
  </x:si>
  <x:si>
    <x:t xml:space="preserve">V6-P4-T001</x:t>
  </x:si>
  <x:si>
    <x:t xml:space="preserve">V6-P4</x:t>
  </x:si>
  <x:si>
    <x:t xml:space="preserve">P4 UI</x:t>
  </x:si>
  <x:si>
    <x:r>
      <x:rPr>
        <x:sz val="900"/>
        <x:color rgb="FF24323D"/>
        <x:rFont val="Linux Libertine G"/>
        <x:family val="2"/>
      </x:rPr>
      <x:t xml:space="preserve">保持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一次只操作一支军队</x:t>
    </x:r>
  </x:si>
  <x:si>
    <x:r>
      <x:rPr>
        <x:sz val="900"/>
        <x:color rgb="FF24323D"/>
        <x:rFont val="Linux Libertine G"/>
        <x:family val="2"/>
      </x:rPr>
      <x:t xml:space="preserve">选择态与世界集合分离，无 </x:t>
    </x:r>
    <x:r>
      <x:rPr>
        <x:sz val="900"/>
        <x:color rgb="FF24323D"/>
        <x:rFont val="Hiragino Sans GB"/>
      </x:rPr>
      <x:t xml:space="preserve">active singleton </x:t>
    </x:r>
    <x:r>
      <x:rPr>
        <x:sz val="900"/>
        <x:color rgb="FF24323D"/>
        <x:rFont val="Linux Libertine G"/>
        <x:family val="2"/>
      </x:rPr>
      <x:t xml:space="preserve">持久假设。</x:t>
    </x:r>
  </x:si>
  <x:si>
    <x:r>
      <x:rPr>
        <x:sz val="900"/>
        <x:color rgb="FF24323D"/>
        <x:rFont val="Linux Libertine G"/>
        <x:family val="2"/>
      </x:rPr>
      <x:t xml:space="preserve">选择态与世界集合分离，无 </x:t>
    </x:r>
    <x:r>
      <x:rPr>
        <x:sz val="900"/>
        <x:color rgb="FF24323D"/>
        <x:rFont val="Hiragino Sans GB"/>
      </x:rPr>
      <x:t xml:space="preserve">active singleton </x:t>
    </x:r>
    <x:r>
      <x:rPr>
        <x:sz val="900"/>
        <x:color rgb="FF24323D"/>
        <x:rFont val="Linux Libertine G"/>
        <x:family val="2"/>
      </x:rPr>
      <x:t xml:space="preserve">持久假设。；无第二世界状态；失败可回滚。</x:t>
    </x:r>
  </x:si>
  <x:si>
    <x:t xml:space="preserve">T-V6_P4_T001</x:t>
  </x:si>
  <x:si>
    <x:t xml:space="preserve">V6-G4</x:t>
  </x:si>
  <x:si>
    <x:t xml:space="preserve">V6-P5-T001</x:t>
  </x:si>
  <x:si>
    <x:t xml:space="preserve">V6-P5</x:t>
  </x:si>
  <x:si>
    <x:r>
      <x:rPr>
        <x:sz val="900"/>
        <x:color rgb="FF24323D"/>
        <x:rFont val="Hiragino Sans GB"/>
      </x:rPr>
      <x:t xml:space="preserve">P5 </x:t>
    </x:r>
    <x:r>
      <x:rPr>
        <x:sz val="900"/>
        <x:color rgb="FF24323D"/>
        <x:rFont val="Linux Libertine G"/>
        <x:family val="2"/>
      </x:rPr>
      <x:t xml:space="preserve">验证</x:t>
    </x:r>
  </x:si>
  <x:si>
    <x:t xml:space="preserve">多军队、行军恢复与触发合同自动测试</x:t>
  </x:si>
  <x:si>
    <x:t xml:space="preserve">并发、重复到达、保存、重进、守恒。</x:t>
  </x:si>
  <x:si>
    <x:t xml:space="preserve">并发、重复到达、保存、重进、守恒。；无第二世界状态；失败可回滚。</x:t>
  </x:si>
  <x:si>
    <x:t xml:space="preserve">T-V6_P5_T001</x:t>
  </x:si>
  <x:si>
    <x:t xml:space="preserve">V6-G3</x:t>
  </x:si>
  <x:si>
    <x:t xml:space="preserve">V6-P5-T002</x:t>
  </x:si>
  <x:si>
    <x:t xml:space="preserve">真实窗口验证两支军队路径</x:t>
  </x:si>
  <x:si>
    <x:t xml:space="preserve">分别行军、驻扎、返回、重进可读。</x:t>
  </x:si>
  <x:si>
    <x:t xml:space="preserve">分别行军、驻扎、返回、重进可读。；无第二世界状态；失败可回滚。</x:t>
  </x:si>
  <x:si>
    <x:t xml:space="preserve">真实窗口</x:t>
  </x:si>
  <x:si>
    <x:t xml:space="preserve">T-V6_P5_T002</x:t>
  </x:si>
  <x:si>
    <x:t xml:space="preserve">V6-G4,V6-G6</x:t>
  </x:si>
  <x:si>
    <x:t xml:space="preserve">V6-P5-T003</x:t>
  </x:si>
  <x:si>
    <x:r>
      <x:rPr>
        <x:sz val="900"/>
        <x:color rgb="FF24323D"/>
        <x:rFont val="Linux Libertine G"/>
        <x:family val="2"/>
      </x:rPr>
      <x:t xml:space="preserve">独立复查并冻结 </x:t>
    </x:r>
    <x:r>
      <x:rPr>
        <x:sz val="900"/>
        <x:color rgb="FF24323D"/>
        <x:rFont val="Hiragino Sans GB"/>
      </x:rPr>
      <x:t xml:space="preserve">V6</x:t>
    </x:r>
  </x:si>
  <x:si>
    <x:t xml:space="preserve">状态所有权、并发、迁移和回滚通过。</x:t>
  </x:si>
  <x:si>
    <x:t xml:space="preserve">状态所有权、并发、迁移和回滚通过。；无第二世界状态；失败可回滚。</x:t>
  </x:si>
  <x:si>
    <x:t xml:space="preserve">T-V6_P5_T003</x:t>
  </x:si>
  <x:si>
    <x:t xml:space="preserve">V6-G5,V6-G6</x:t>
  </x:si>
  <x:si>
    <x:t xml:space="preserve">V7-P0-T001</x:t>
  </x:si>
  <x:si>
    <x:r>
      <x:rPr>
        <x:sz val="900"/>
        <x:color rgb="FF24323D"/>
        <x:rFont val="Hiragino Sans GB"/>
      </x:rPr>
      <x:t xml:space="preserve">P0 </x:t>
    </x:r>
    <x:r>
      <x:rPr>
        <x:sz val="900"/>
        <x:color rgb="FF24323D"/>
        <x:rFont val="Linux Libertine G"/>
        <x:family val="2"/>
      </x:rPr>
      <x:t xml:space="preserve">工作包</x:t>
    </x:r>
  </x:si>
  <x:si>
    <x:r>
      <x:rPr>
        <x:sz val="900"/>
        <x:color rgb="FF24323D"/>
        <x:rFont val="Linux Libertine G"/>
        <x:family val="2"/>
      </x:rPr>
      <x:t xml:space="preserve">冻结遭遇战请求与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写回合同</x:t>
    </x:r>
  </x:si>
  <x:si>
    <x:t xml:space="preserve">远期仅保留工作包级规划，阶段开始前必须根据上一阶段事实重新拆解。</x:t>
  </x:si>
  <x:si>
    <x:t xml:space="preserve">阶段开始前登记；不预造文件名</x:t>
  </x:si>
  <x:si>
    <x:t xml:space="preserve">V6 VERIFIED</x:t>
  </x:si>
  <x:si>
    <x:r>
      <x:rPr>
        <x:sz val="900"/>
        <x:color rgb="FF24323D"/>
        <x:rFont val="Linux Libertine G"/>
        <x:family val="2"/>
      </x:rPr>
      <x:t xml:space="preserve">上一阶段 </x:t>
    </x:r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P0 </x:t>
    </x:r>
    <x:r>
      <x:rPr>
        <x:sz val="900"/>
        <x:color rgb="FF24323D"/>
        <x:rFont val="Linux Libertine G"/>
        <x:family val="2"/>
      </x:rPr>
      <x:t xml:space="preserve">前置门通过</x:t>
    </x:r>
  </x:si>
  <x:si>
    <x:r>
      <x:rPr>
        <x:sz val="900"/>
        <x:color rgb="FF24323D"/>
        <x:rFont val="Linux Libertine G"/>
        <x:family val="2"/>
      </x:rPr>
      <x:t xml:space="preserve">冻结遭遇战请求与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写回合同 的玩家结果、状态合同、失败路径和证据完整。</x:t>
    </x:r>
  </x:si>
  <x:si>
    <x:t xml:space="preserve">阶段内测试</x:t>
  </x:si>
  <x:si>
    <x:t xml:space="preserve">DEFERRED_UNTIL_PRIOR_PHASE_VERIFIED</x:t>
  </x:si>
  <x:si>
    <x:r>
      <x:rPr>
        <x:sz val="900"/>
        <x:color rgb="FF24323D"/>
        <x:rFont val="Linux Libertine G"/>
        <x:family val="2"/>
      </x:rPr>
      <x:t xml:space="preserve">回到 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冻结提交</x:t>
    </x:r>
  </x:si>
  <x:si>
    <x:r>
      <x:rPr>
        <x:sz val="900"/>
        <x:color rgb="FF24323D"/>
        <x:rFont val="Linux Libertine G"/>
        <x:family val="2"/>
      </x:rPr>
      <x:t xml:space="preserve">产品方向未确认、需要新依赖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迁移、状态所有权冲突。</x:t>
    </x:r>
  </x:si>
  <x:si>
    <x:t xml:space="preserve">V7-G0,V7-G1</x:t>
  </x:si>
  <x:si>
    <x:t xml:space="preserve">V7-P1-T002</x:t>
  </x:si>
  <x:si>
    <x:r>
      <x:rPr>
        <x:sz val="900"/>
        <x:color rgb="FF24323D"/>
        <x:rFont val="Hiragino Sans GB"/>
      </x:rPr>
      <x:t xml:space="preserve">P1 </x:t>
    </x:r>
    <x:r>
      <x:rPr>
        <x:sz val="900"/>
        <x:color rgb="FF24323D"/>
        <x:rFont val="Linux Libertine G"/>
        <x:family val="2"/>
      </x:rPr>
      <x:t xml:space="preserve">工作包</x:t>
    </x:r>
  </x:si>
  <x:si>
    <x:r>
      <x:rPr>
        <x:sz val="900"/>
        <x:color rgb="FF24323D"/>
        <x:rFont val="Linux Libertine G"/>
        <x:family val="2"/>
      </x:rPr>
      <x:t xml:space="preserve">复用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建立步兵遭遇战适配</x:t>
    </x:r>
  </x:si>
  <x:si>
    <x:r>
      <x:rPr>
        <x:sz val="900"/>
        <x:color rgb="FF24323D"/>
        <x:rFont val="Linux Libertine G"/>
        <x:family val="2"/>
      </x:rPr>
      <x:t xml:space="preserve">上一阶段 </x:t>
    </x:r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P1 </x:t>
    </x:r>
    <x:r>
      <x:rPr>
        <x:sz val="900"/>
        <x:color rgb="FF24323D"/>
        <x:rFont val="Linux Libertine G"/>
        <x:family val="2"/>
      </x:rPr>
      <x:t xml:space="preserve">前置门通过</x:t>
    </x:r>
  </x:si>
  <x:si>
    <x:r>
      <x:rPr>
        <x:sz val="900"/>
        <x:color rgb="FF24323D"/>
        <x:rFont val="Linux Libertine G"/>
        <x:family val="2"/>
      </x:rPr>
      <x:t xml:space="preserve">复用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建立步兵遭遇战适配 的玩家结果、状态合同、失败路径和证据完整。</x:t>
    </x:r>
  </x:si>
  <x:si>
    <x:t xml:space="preserve">V7-G2</x:t>
  </x:si>
  <x:si>
    <x:t xml:space="preserve">V7-P2-T003</x:t>
  </x:si>
  <x:si>
    <x:r>
      <x:rPr>
        <x:sz val="900"/>
        <x:color rgb="FF24323D"/>
        <x:rFont val="Hiragino Sans GB"/>
      </x:rPr>
      <x:t xml:space="preserve">P2 </x:t>
    </x:r>
    <x:r>
      <x:rPr>
        <x:sz val="900"/>
        <x:color rgb="FF24323D"/>
        <x:rFont val="Linux Libertine G"/>
        <x:family val="2"/>
      </x:rPr>
      <x:t xml:space="preserve">工作包</x:t>
    </x:r>
  </x:si>
  <x:si>
    <x:t xml:space="preserve">实现胜利／失败／撤退与战略结果写回</x:t>
  </x:si>
  <x:si>
    <x:r>
      <x:rPr>
        <x:sz val="900"/>
        <x:color rgb="FF24323D"/>
        <x:rFont val="Linux Libertine G"/>
        <x:family val="2"/>
      </x:rPr>
      <x:t xml:space="preserve">上一阶段 </x:t>
    </x:r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P2 </x:t>
    </x:r>
    <x:r>
      <x:rPr>
        <x:sz val="900"/>
        <x:color rgb="FF24323D"/>
        <x:rFont val="Linux Libertine G"/>
        <x:family val="2"/>
      </x:rPr>
      <x:t xml:space="preserve">前置门通过</x:t>
    </x:r>
  </x:si>
  <x:si>
    <x:t xml:space="preserve">实现胜利／失败／撤退与战略结果写回 的玩家结果、状态合同、失败路径和证据完整。</x:t>
  </x:si>
  <x:si>
    <x:t xml:space="preserve">V7-P3-T004</x:t>
  </x:si>
  <x:si>
    <x:r>
      <x:rPr>
        <x:sz val="900"/>
        <x:color rgb="FF24323D"/>
        <x:rFont val="Hiragino Sans GB"/>
      </x:rPr>
      <x:t xml:space="preserve">P3 </x:t>
    </x:r>
    <x:r>
      <x:rPr>
        <x:sz val="900"/>
        <x:color rgb="FF24323D"/>
        <x:rFont val="Linux Libertine G"/>
        <x:family val="2"/>
      </x:rPr>
      <x:t xml:space="preserve">工作包</x:t>
    </x:r>
  </x:si>
  <x:si>
    <x:t xml:space="preserve">自动、实体与独立复查后冻结</x:t>
  </x:si>
  <x:si>
    <x:r>
      <x:rPr>
        <x:sz val="900"/>
        <x:color rgb="FF24323D"/>
        <x:rFont val="Linux Libertine G"/>
        <x:family val="2"/>
      </x:rPr>
      <x:t xml:space="preserve">上一阶段 </x:t>
    </x:r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P3 </x:t>
    </x:r>
    <x:r>
      <x:rPr>
        <x:sz val="900"/>
        <x:color rgb="FF24323D"/>
        <x:rFont val="Linux Libertine G"/>
        <x:family val="2"/>
      </x:rPr>
      <x:t xml:space="preserve">前置门通过</x:t>
    </x:r>
  </x:si>
  <x:si>
    <x:t xml:space="preserve">自动、实体与独立复查后冻结 的玩家结果、状态合同、失败路径和证据完整。</x:t>
  </x:si>
  <x:si>
    <x:r>
      <x:rPr>
        <x:sz val="900"/>
        <x:color rgb="FF24323D"/>
        <x:rFont val="Linux Libertine G"/>
        <x:family val="2"/>
      </x:rPr>
      <x:t xml:space="preserve">自动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真实窗口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独立复查</x:t>
    </x:r>
  </x:si>
  <x:si>
    <x:t xml:space="preserve">V7-G3,V7-G4,V7-G5,V7-G6</x:t>
  </x:si>
  <x:si>
    <x:t xml:space="preserve">V8-P0-T001</x:t>
  </x:si>
  <x:si>
    <x:t xml:space="preserve">冻结围城状态与战事内城契约</x:t>
  </x:si>
  <x:si>
    <x:t xml:space="preserve">V7 VERIFIED</x:t>
  </x:si>
  <x:si>
    <x:t xml:space="preserve">冻结围城状态与战事内城契约 的玩家结果、状态合同、失败路径和证据完整。</x:t>
  </x:si>
  <x:si>
    <x:t xml:space="preserve">T-ARCH-OWNERSHIP-001</x:t>
  </x:si>
  <x:si>
    <x:r>
      <x:rPr>
        <x:sz val="900"/>
        <x:color rgb="FF24323D"/>
        <x:rFont val="Linux Libertine G"/>
        <x:family val="2"/>
      </x:rPr>
      <x:t xml:space="preserve">回到 </x:t>
    </x:r>
    <x:r>
      <x:rPr>
        <x:sz val="900"/>
        <x:color rgb="FF24323D"/>
        <x:rFont val="Hiragino Sans GB"/>
      </x:rPr>
      <x:t xml:space="preserve">V7 </x:t>
    </x:r>
    <x:r>
      <x:rPr>
        <x:sz val="900"/>
        <x:color rgb="FF24323D"/>
        <x:rFont val="Linux Libertine G"/>
        <x:family val="2"/>
      </x:rPr>
      <x:t xml:space="preserve">冻结提交</x:t>
    </x:r>
  </x:si>
  <x:si>
    <x:t xml:space="preserve">V8-G0,V8-G1</x:t>
  </x:si>
  <x:si>
    <x:t xml:space="preserve">V8-P1-T002</x:t>
  </x:si>
  <x:si>
    <x:r>
      <x:rPr>
        <x:sz val="900"/>
        <x:color rgb="FF24323D"/>
        <x:rFont val="Linux Libertine G"/>
        <x:family val="2"/>
      </x:rPr>
      <x:t xml:space="preserve">建立临时战事内城场景与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配置</x:t>
    </x:r>
  </x:si>
  <x:si>
    <x:r>
      <x:rPr>
        <x:sz val="900"/>
        <x:color rgb="FF24323D"/>
        <x:rFont val="Linux Libertine G"/>
        <x:family val="2"/>
      </x:rPr>
      <x:t xml:space="preserve">建立临时战事内城场景与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配置 的玩家结果、状态合同、失败路径和证据完整。</x:t>
    </x:r>
  </x:si>
  <x:si>
    <x:t xml:space="preserve">V8-G2</x:t>
  </x:si>
  <x:si>
    <x:t xml:space="preserve">V8-P2-T003</x:t>
  </x:si>
  <x:si>
    <x:t xml:space="preserve">实现可维修损伤和城市布局保全写回</x:t>
  </x:si>
  <x:si>
    <x:t xml:space="preserve">实现可维修损伤和城市布局保全写回 的玩家结果、状态合同、失败路径和证据完整。</x:t>
  </x:si>
  <x:si>
    <x:t xml:space="preserve">V8-P3-T004</x:t>
  </x:si>
  <x:si>
    <x:t xml:space="preserve">失败语义、实体测试与独立复查后冻结</x:t>
  </x:si>
  <x:si>
    <x:t xml:space="preserve">失败语义、实体测试与独立复查后冻结 的玩家结果、状态合同、失败路径和证据完整。</x:t>
  </x:si>
  <x:si>
    <x:t xml:space="preserve">V8-G3,V8-G4,V8-G5,V8-G6</x:t>
  </x:si>
  <x:si>
    <x:t xml:space="preserve">V9-P0-T001</x:t>
  </x:si>
  <x:si>
    <x:r>
      <x:rPr>
        <x:sz val="900"/>
        <x:color rgb="FF24323D"/>
        <x:rFont val="Linux Libertine G"/>
        <x:family val="2"/>
      </x:rPr>
      <x:t xml:space="preserve">冻结多城市 </x:t>
    </x:r>
    <x:r>
      <x:rPr>
        <x:sz val="900"/>
        <x:color rgb="FF24323D"/>
        <x:rFont val="Hiragino Sans GB"/>
      </x:rPr>
      <x:t xml:space="preserve">identity</x:t>
    </x:r>
    <x:r>
      <x:rPr>
        <x:sz val="900"/>
        <x:color rgb="FF24323D"/>
        <x:rFont val="Linux Libertine G"/>
        <x:family val="2"/>
      </x:rPr>
      <x:t xml:space="preserve">、归属和迁移合同</x:t>
    </x:r>
  </x:si>
  <x:si>
    <x:t xml:space="preserve">V8 VERIFIED</x:t>
  </x:si>
  <x:si>
    <x:r>
      <x:rPr>
        <x:sz val="900"/>
        <x:color rgb="FF24323D"/>
        <x:rFont val="Linux Libertine G"/>
        <x:family val="2"/>
      </x:rPr>
      <x:t xml:space="preserve">冻结多城市 </x:t>
    </x:r>
    <x:r>
      <x:rPr>
        <x:sz val="900"/>
        <x:color rgb="FF24323D"/>
        <x:rFont val="Hiragino Sans GB"/>
      </x:rPr>
      <x:t xml:space="preserve">identity</x:t>
    </x:r>
    <x:r>
      <x:rPr>
        <x:sz val="900"/>
        <x:color rgb="FF24323D"/>
        <x:rFont val="Linux Libertine G"/>
        <x:family val="2"/>
      </x:rPr>
      <x:t xml:space="preserve">、归属和迁移合同 的玩家结果、状态合同、失败路径和证据完整。</x:t>
    </x:r>
  </x:si>
  <x:si>
    <x:r>
      <x:rPr>
        <x:sz val="900"/>
        <x:color rgb="FF24323D"/>
        <x:rFont val="Linux Libertine G"/>
        <x:family val="2"/>
      </x:rPr>
      <x:t xml:space="preserve">回到 </x:t>
    </x:r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冻结提交</x:t>
    </x:r>
  </x:si>
  <x:si>
    <x:t xml:space="preserve">V9-G0,V9-G1</x:t>
  </x:si>
  <x:si>
    <x:t xml:space="preserve">V9-P1-T002</x:t>
  </x:si>
  <x:si>
    <x:t xml:space="preserve">建立第二持久城市及城市切换</x:t>
  </x:si>
  <x:si>
    <x:t xml:space="preserve">建立第二持久城市及城市切换 的玩家结果、状态合同、失败路径和证据完整。</x:t>
  </x:si>
  <x:si>
    <x:t xml:space="preserve">V9-G2</x:t>
  </x:si>
  <x:si>
    <x:t xml:space="preserve">V9-P2-T003</x:t>
  </x:si>
  <x:si>
    <x:t xml:space="preserve">实现占领、锁定、收复和布局恢复</x:t>
  </x:si>
  <x:si>
    <x:t xml:space="preserve">实现占领、锁定、收复和布局恢复 的玩家结果、状态合同、失败路径和证据完整。</x:t>
  </x:si>
  <x:si>
    <x:t xml:space="preserve">V9-P3-T004</x:t>
  </x:si>
  <x:si>
    <x:t xml:space="preserve">多城市存档、实体测试与独立复查后冻结</x:t>
  </x:si>
  <x:si>
    <x:t xml:space="preserve">多城市存档、实体测试与独立复查后冻结 的玩家结果、状态合同、失败路径和证据完整。</x:t>
  </x:si>
  <x:si>
    <x:t xml:space="preserve">V9-G3,V9-G4,V9-G5,V9-G6</x:t>
  </x:si>
  <x:si>
    <x:t xml:space="preserve">V10-P0-T001</x:t>
  </x:si>
  <x:si>
    <x:t xml:space="preserve">冻结战略时间与敌方行动命令合同</x:t>
  </x:si>
  <x:si>
    <x:t xml:space="preserve">V9 VERIFIED</x:t>
  </x:si>
  <x:si>
    <x:t xml:space="preserve">冻结战略时间与敌方行动命令合同 的玩家结果、状态合同、失败路径和证据完整。</x:t>
  </x:si>
  <x:si>
    <x:r>
      <x:rPr>
        <x:sz val="900"/>
        <x:color rgb="FF24323D"/>
        <x:rFont val="Linux Libertine G"/>
        <x:family val="2"/>
      </x:rPr>
      <x:t xml:space="preserve">回到 </x:t>
    </x:r>
    <x:r>
      <x:rPr>
        <x:sz val="900"/>
        <x:color rgb="FF24323D"/>
        <x:rFont val="Hiragino Sans GB"/>
      </x:rPr>
      <x:t xml:space="preserve">V9 </x:t>
    </x:r>
    <x:r>
      <x:rPr>
        <x:sz val="900"/>
        <x:color rgb="FF24323D"/>
        <x:rFont val="Linux Libertine G"/>
        <x:family val="2"/>
      </x:rPr>
      <x:t xml:space="preserve">冻结提交</x:t>
    </x:r>
  </x:si>
  <x:si>
    <x:t xml:space="preserve">V10-G0,V10-G1</x:t>
  </x:si>
  <x:si>
    <x:t xml:space="preserve">V10-P1-T002</x:t>
  </x:si>
  <x:si>
    <x:t xml:space="preserve">实现确定性增援、封锁与进攻</x:t>
  </x:si>
  <x:si>
    <x:t xml:space="preserve">实现确定性增援、封锁与进攻 的玩家结果、状态合同、失败路径和证据完整。</x:t>
  </x:si>
  <x:si>
    <x:t xml:space="preserve">V10-G2</x:t>
  </x:si>
  <x:si>
    <x:t xml:space="preserve">V10-P2-T003</x:t>
  </x:si>
  <x:si>
    <x:t xml:space="preserve">实现预告、日志和玩家响应反馈</x:t>
  </x:si>
  <x:si>
    <x:t xml:space="preserve">实现预告、日志和玩家响应反馈 的玩家结果、状态合同、失败路径和证据完整。</x:t>
  </x:si>
  <x:si>
    <x:t xml:space="preserve">V10-P3-T004</x:t>
  </x:si>
  <x:si>
    <x:t xml:space="preserve">重放、存档、实体与独立复查后冻结</x:t>
  </x:si>
  <x:si>
    <x:t xml:space="preserve">重放、存档、实体与独立复查后冻结 的玩家结果、状态合同、失败路径和证据完整。</x:t>
  </x:si>
  <x:si>
    <x:t xml:space="preserve">V10-G3,V10-G4,V10-G5,V10-G6</x:t>
  </x:si>
  <x:si>
    <x:t xml:space="preserve">V11-P0-T001</x:t>
  </x:si>
  <x:si>
    <x:t xml:space="preserve">冻结第二兵种和旧存档迁移合同</x:t>
  </x:si>
  <x:si>
    <x:t xml:space="preserve">V10 VERIFIED</x:t>
  </x:si>
  <x:si>
    <x:t xml:space="preserve">冻结第二兵种和旧存档迁移合同 的玩家结果、状态合同、失败路径和证据完整。</x:t>
  </x:si>
  <x:si>
    <x:r>
      <x:rPr>
        <x:sz val="900"/>
        <x:color rgb="FF24323D"/>
        <x:rFont val="Linux Libertine G"/>
        <x:family val="2"/>
      </x:rPr>
      <x:t xml:space="preserve">回到 </x:t>
    </x:r>
    <x:r>
      <x:rPr>
        <x:sz val="900"/>
        <x:color rgb="FF24323D"/>
        <x:rFont val="Hiragino Sans GB"/>
      </x:rPr>
      <x:t xml:space="preserve">V10 </x:t>
    </x:r>
    <x:r>
      <x:rPr>
        <x:sz val="900"/>
        <x:color rgb="FF24323D"/>
        <x:rFont val="Linux Libertine G"/>
        <x:family val="2"/>
      </x:rPr>
      <x:t xml:space="preserve">冻结提交</x:t>
    </x:r>
  </x:si>
  <x:si>
    <x:t xml:space="preserve">V11-G0,V11-G1</x:t>
  </x:si>
  <x:si>
    <x:t xml:space="preserve">V11-P1-T002</x:t>
  </x:si>
  <x:si>
    <x:r>
      <x:rPr>
        <x:sz val="900"/>
        <x:color rgb="FF24323D"/>
        <x:rFont val="Linux Libertine G"/>
        <x:family val="2"/>
      </x:rPr>
      <x:t xml:space="preserve">实现第二 </x:t>
    </x:r>
    <x:r>
      <x:rPr>
        <x:sz val="900"/>
        <x:color rgb="FF24323D"/>
        <x:rFont val="Hiragino Sans GB"/>
      </x:rPr>
      <x:t xml:space="preserve">UnitDefinition</x:t>
    </x:r>
    <x:r>
      <x:rPr>
        <x:sz val="900"/>
        <x:color rgb="FF24323D"/>
        <x:rFont val="Linux Libertine G"/>
        <x:family val="2"/>
      </x:rPr>
      <x:t xml:space="preserve">、训练和补给</x:t>
    </x:r>
  </x:si>
  <x:si>
    <x:r>
      <x:rPr>
        <x:sz val="900"/>
        <x:color rgb="FF24323D"/>
        <x:rFont val="Linux Libertine G"/>
        <x:family val="2"/>
      </x:rPr>
      <x:t xml:space="preserve">实现第二 </x:t>
    </x:r>
    <x:r>
      <x:rPr>
        <x:sz val="900"/>
        <x:color rgb="FF24323D"/>
        <x:rFont val="Hiragino Sans GB"/>
      </x:rPr>
      <x:t xml:space="preserve">UnitDefinition</x:t>
    </x:r>
    <x:r>
      <x:rPr>
        <x:sz val="900"/>
        <x:color rgb="FF24323D"/>
        <x:rFont val="Linux Libertine G"/>
        <x:family val="2"/>
      </x:rPr>
      <x:t xml:space="preserve">、训练和补给 的玩家结果、状态合同、失败路径和证据完整。</x:t>
    </x:r>
  </x:si>
  <x:si>
    <x:t xml:space="preserve">V11-G2</x:t>
  </x:si>
  <x:si>
    <x:t xml:space="preserve">V11-P2-T003</x:t>
  </x:si>
  <x:si>
    <x:t xml:space="preserve">实现正式编组及战斗差异</x:t>
  </x:si>
  <x:si>
    <x:t xml:space="preserve">实现正式编组及战斗差异 的玩家结果、状态合同、失败路径和证据完整。</x:t>
  </x:si>
  <x:si>
    <x:t xml:space="preserve">V11-P3-T004</x:t>
  </x:si>
  <x:si>
    <x:t xml:space="preserve">平衡入口、实体与独立复查后冻结</x:t>
  </x:si>
  <x:si>
    <x:t xml:space="preserve">平衡入口、实体与独立复查后冻结 的玩家结果、状态合同、失败路径和证据完整。</x:t>
  </x:si>
  <x:si>
    <x:t xml:space="preserve">V11-G3,V11-G4,V11-G5,V11-G6</x:t>
  </x:si>
  <x:si>
    <x:t xml:space="preserve">V12-P0-T001</x:t>
  </x:si>
  <x:si>
    <x:t xml:space="preserve">冻结特殊行动命令与结果合同</x:t>
  </x:si>
  <x:si>
    <x:t xml:space="preserve">V11 VERIFIED</x:t>
  </x:si>
  <x:si>
    <x:t xml:space="preserve">冻结特殊行动命令与结果合同 的玩家结果、状态合同、失败路径和证据完整。</x:t>
  </x:si>
  <x:si>
    <x:r>
      <x:rPr>
        <x:sz val="900"/>
        <x:color rgb="FF24323D"/>
        <x:rFont val="Linux Libertine G"/>
        <x:family val="2"/>
      </x:rPr>
      <x:t xml:space="preserve">回到 </x:t>
    </x:r>
    <x:r>
      <x:rPr>
        <x:sz val="900"/>
        <x:color rgb="FF24323D"/>
        <x:rFont val="Hiragino Sans GB"/>
      </x:rPr>
      <x:t xml:space="preserve">V11 </x:t>
    </x:r>
    <x:r>
      <x:rPr>
        <x:sz val="900"/>
        <x:color rgb="FF24323D"/>
        <x:rFont val="Linux Libertine G"/>
        <x:family val="2"/>
      </x:rPr>
      <x:t xml:space="preserve">冻结提交</x:t>
    </x:r>
  </x:si>
  <x:si>
    <x:t xml:space="preserve">V12-G0,V12-G1</x:t>
  </x:si>
  <x:si>
    <x:t xml:space="preserve">V12-P1-T002</x:t>
  </x:si>
  <x:si>
    <x:t xml:space="preserve">实现工程与路线影响</x:t>
  </x:si>
  <x:si>
    <x:t xml:space="preserve">实现工程与路线影响 的玩家结果、状态合同、失败路径和证据完整。</x:t>
  </x:si>
  <x:si>
    <x:t xml:space="preserve">V12-G2</x:t>
  </x:si>
  <x:si>
    <x:t xml:space="preserve">V12-P2-T003</x:t>
  </x:si>
  <x:si>
    <x:t xml:space="preserve">实现侦察、伏击与情报影响</x:t>
  </x:si>
  <x:si>
    <x:t xml:space="preserve">实现侦察、伏击与情报影响 的玩家结果、状态合同、失败路径和证据完整。</x:t>
  </x:si>
  <x:si>
    <x:t xml:space="preserve">V12-P3-T004</x:t>
  </x:si>
  <x:si>
    <x:t xml:space="preserve">一次性语义、实体与独立复查后冻结</x:t>
  </x:si>
  <x:si>
    <x:t xml:space="preserve">一次性语义、实体与独立复查后冻结 的玩家结果、状态合同、失败路径和证据完整。</x:t>
  </x:si>
  <x:si>
    <x:t xml:space="preserve">V12-G3,V12-G4,V12-G5,V12-G6</x:t>
  </x:si>
  <x:si>
    <x:t xml:space="preserve">依赖与阶段门</x:t>
  </x:si>
  <x:si>
    <x:r>
      <x:rPr>
        <x:i/>
        <x:sz val="1000"/>
        <x:color rgb="FF34495E"/>
        <x:rFont val="Linux Libertine G"/>
        <x:family val="2"/>
      </x:rPr>
      <x:t xml:space="preserve">每个阶段遵循 </x:t>
    </x:r>
    <x:r>
      <x:rPr>
        <x:i/>
        <x:sz val="1000"/>
        <x:color rgb="FF34495E"/>
        <x:rFont val="Hiragino Sans GB"/>
      </x:rPr>
      <x:t xml:space="preserve">G0→G6</x:t>
    </x:r>
    <x:r>
      <x:rPr>
        <x:i/>
        <x:sz val="1000"/>
        <x:color rgb="FF34495E"/>
        <x:rFont val="Linux Libertine G"/>
        <x:family val="2"/>
      </x:rPr>
      <x:t xml:space="preserve">；关键合同、存档、垂直闭环和高风险修复必须独立复查。</x:t>
    </x:r>
  </x:si>
  <x:si>
    <x:t xml:space="preserve">Gate ID</x:t>
  </x:si>
  <x:si>
    <x:t xml:space="preserve">Gate Name</x:t>
  </x:si>
  <x:si>
    <x:t xml:space="preserve">Required Tasks</x:t>
  </x:si>
  <x:si>
    <x:t xml:space="preserve">Required Tests</x:t>
  </x:si>
  <x:si>
    <x:t xml:space="preserve">Required Evidence</x:t>
  </x:si>
  <x:si>
    <x:t xml:space="preserve">Blocking Conditions</x:t>
  </x:si>
  <x:si>
    <x:t xml:space="preserve">Passed Time</x:t>
  </x:si>
  <x:si>
    <x:t xml:space="preserve">Passed By</x:t>
  </x:si>
  <x:si>
    <x:t xml:space="preserve">Verdict</x:t>
  </x:si>
  <x:si>
    <x:t xml:space="preserve">真实基线已锁定</x:t>
  </x:si>
  <x:si>
    <x:r>
      <x:rPr>
        <x:sz val="900"/>
        <x:color rgb="FF24323D"/>
        <x:rFont val="Linux Libertine G"/>
        <x:family val="2"/>
      </x:rPr>
      <x:t xml:space="preserve">备份 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、基线表、差异清单；核对 </x:t>
    </x:r>
    <x:r>
      <x:rPr>
        <x:sz val="900"/>
        <x:color rgb="FF24323D"/>
        <x:rFont val="Hiragino Sans GB"/>
      </x:rPr>
      <x:t xml:space="preserve">git/status/diff/HEAD/</x:t>
    </x:r>
    <x:r>
      <x:rPr>
        <x:sz val="900"/>
        <x:color rgb="FF24323D"/>
        <x:rFont val="Linux Libertine G"/>
        <x:family val="2"/>
      </x:rPr>
      <x:t xml:space="preserve">保护哈希</x:t>
    </x:r>
  </x:si>
  <x:si>
    <x:r>
      <x:rPr>
        <x:sz val="900"/>
        <x:color rgb="FF24323D"/>
        <x:rFont val="Linux Libertine G"/>
        <x:family val="2"/>
      </x:rPr>
      <x:t xml:space="preserve">未知 </x:t>
    </x:r>
    <x:r>
      <x:rPr>
        <x:sz val="900"/>
        <x:color rgb="FF24323D"/>
        <x:rFont val="Hiragino Sans GB"/>
      </x:rPr>
      <x:t xml:space="preserve">dirty</x:t>
    </x:r>
    <x:r>
      <x:rPr>
        <x:sz val="900"/>
        <x:color rgb="FF24323D"/>
        <x:rFont val="Linux Libertine G"/>
        <x:family val="2"/>
      </x:rPr>
      <x:t xml:space="preserve">；保护范围不明；无法恢复</x:t>
    </x:r>
  </x:si>
  <x:si>
    <x:t xml:space="preserve">/root/master_plan_review_final + /root/master_plan_review_fast</x:t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</x:si>
  <x:si>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</x:t>
    </x:r>
    <x:r>
      <x:rPr>
        <x:sz val="900"/>
        <x:color rgb="FF24323D"/>
        <x:rFont val="Hiragino Sans GB"/>
      </x:rPr>
      <x:t xml:space="preserve">PLAN-REPAIR-002 </x:t>
    </x:r>
    <x:r>
      <x:rPr>
        <x:sz val="900"/>
        <x:color rgb="FF24323D"/>
        <x:rFont val="Linux Libertine G"/>
        <x:family val="2"/>
      </x:rPr>
      <x:t xml:space="preserve">完成；两轮独立复查通过；</x:t>
    </x:r>
    <x:r>
      <x:rPr>
        <x:sz val="900"/>
        <x:color rgb="FF24323D"/>
        <x:rFont val="Hiragino Sans GB"/>
      </x:rPr>
      <x:t xml:space="preserve">REVIEW_003 </x:t>
    </x:r>
    <x:r>
      <x:rPr>
        <x:sz val="900"/>
        <x:color rgb="FF24323D"/>
        <x:rFont val="Linux Libertine G"/>
        <x:family val="2"/>
      </x:rPr>
      <x:t xml:space="preserve">已获用户接受；所需 </x:t>
    </x:r>
    <x:r>
      <x:rPr>
        <x:sz val="900"/>
        <x:color rgb="FF24323D"/>
        <x:rFont val="Hiragino Sans GB"/>
      </x:rPr>
      <x:t xml:space="preserve">Task/Test ID </x:t>
    </x:r>
    <x:r>
      <x:rPr>
        <x:sz val="900"/>
        <x:color rgb="FF24323D"/>
        <x:rFont val="Linux Libertine G"/>
        <x:family val="2"/>
      </x:rPr>
      <x:t xml:space="preserve">与证据满足；无控制阻断项。只释放 </x:t>
    </x:r>
    <x:r>
      <x:rPr>
        <x:sz val="900"/>
        <x:color rgb="FF24323D"/>
        <x:rFont val="Hiragino Sans GB"/>
      </x:rPr>
      <x:t xml:space="preserve">V4-P5-T001</x:t>
    </x:r>
    <x:r>
      <x:rPr>
        <x:sz val="900"/>
        <x:color rgb="FF24323D"/>
        <x:rFont val="Linux Libertine G"/>
        <x:family val="2"/>
      </x:rPr>
      <x:t xml:space="preserve">，不代表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技术验收通过。</x:t>
    </x:r>
  </x:si>
  <x:si>
    <x:t xml:space="preserve">V4-G1</x:t>
  </x:si>
  <x:si>
    <x:t xml:space="preserve">数据所有权与状态合同通过</x:t>
  </x:si>
  <x:si>
    <x:r>
      <x:rPr>
        <x:sz val="900"/>
        <x:color rgb="FF24323D"/>
        <x:rFont val="Linux Libertine G"/>
        <x:family val="2"/>
      </x:rPr>
      <x:t xml:space="preserve">唯一写入者表、生命周期、迁移边界、</x:t>
    </x:r>
    <x:r>
      <x:rPr>
        <x:sz val="900"/>
        <x:color rgb="FF24323D"/>
        <x:rFont val="Hiragino Sans GB"/>
      </x:rPr>
      <x:t xml:space="preserve">review verdict</x:t>
    </x:r>
    <x:r>
      <x:rPr>
        <x:sz val="900"/>
        <x:color rgb="FF24323D"/>
        <x:rFont val="Linux Libertine G"/>
        <x:family val="2"/>
      </x:rPr>
      <x:t xml:space="preserve">；现有实现查重</x:t>
    </x:r>
  </x:si>
  <x:si>
    <x:r>
      <x:rPr>
        <x:sz val="900"/>
        <x:color rgb="FF24323D"/>
        <x:rFont val="Linux Libertine G"/>
        <x:family val="2"/>
      </x:rPr>
      <x:t xml:space="preserve">第二套 </x:t>
    </x:r>
    <x:r>
      <x:rPr>
        <x:sz val="900"/>
        <x:color rgb="FF24323D"/>
        <x:rFont val="Hiragino Sans GB"/>
      </x:rPr>
      <x:t xml:space="preserve">CityState/WorldState</x:t>
    </x:r>
    <x:r>
      <x:rPr>
        <x:sz val="900"/>
        <x:color rgb="FF24323D"/>
        <x:rFont val="Linux Libertine G"/>
        <x:family val="2"/>
      </x:rPr>
      <x:t xml:space="preserve">；写入者不唯一</x:t>
    </x:r>
  </x:si>
  <x:si>
    <x:t xml:space="preserve">/root</x:t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</x:si>
  <x:si>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</x:t>
    </x:r>
    <x:r>
      <x:rPr>
        <x:sz val="900"/>
        <x:color rgb="FF24323D"/>
        <x:rFont val="Hiragino Sans GB"/>
      </x:rPr>
      <x:t xml:space="preserve">_garrisons </x:t>
    </x:r>
    <x:r>
      <x:rPr>
        <x:sz val="900"/>
        <x:color rgb="FF24323D"/>
        <x:rFont val="Linux Libertine G"/>
        <x:family val="2"/>
      </x:rPr>
      <x:t xml:space="preserve">为唯一驻军位置真值；无 </x:t>
    </x:r>
    <x:r>
      <x:rPr>
        <x:sz val="900"/>
        <x:color rgb="FF24323D"/>
        <x:rFont val="Hiragino Sans GB"/>
      </x:rPr>
      <x:t xml:space="preserve">current_node_id </x:t>
    </x:r>
    <x:r>
      <x:rPr>
        <x:sz val="900"/>
        <x:color rgb="FF24323D"/>
        <x:rFont val="Linux Libertine G"/>
        <x:family val="2"/>
      </x:rPr>
      <x:t xml:space="preserve">或平行位置字段；路线显式 </x:t>
    </x:r>
    <x:r>
      <x:rPr>
        <x:sz val="900"/>
        <x:color rgb="FF24323D"/>
        <x:rFont val="Hiragino Sans GB"/>
      </x:rPr>
      <x:t xml:space="preserve">source_node_id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</x:si>
  <x:si>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V4-G2</x:t>
  </x:si>
  <x:si>
    <x:t xml:space="preserve">最小垂直闭环自动测试通过</x:t>
  </x:si>
  <x:si>
    <x:r>
      <x:rPr>
        <x:sz val="900"/>
        <x:color rgb="FF24323D"/>
        <x:rFont val="Linux Libertine G"/>
        <x:family val="2"/>
      </x:rPr>
      <x:t xml:space="preserve">专项 </x:t>
    </x:r>
    <x:r>
      <x:rPr>
        <x:sz val="900"/>
        <x:color rgb="FF24323D"/>
        <x:rFont val="Hiragino Sans GB"/>
      </x:rPr>
      <x:t xml:space="preserve">runner</x:t>
    </x:r>
    <x:r>
      <x:rPr>
        <x:sz val="900"/>
        <x:color rgb="FF24323D"/>
        <x:rFont val="Linux Libertine G"/>
        <x:family val="2"/>
      </x:rPr>
      <x:t xml:space="preserve">、幂等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失败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迁移测试的命令、</x:t>
    </x:r>
    <x:r>
      <x:rPr>
        <x:sz val="900"/>
        <x:color rgb="FF24323D"/>
        <x:rFont val="Hiragino Sans GB"/>
      </x:rPr>
      <x:t xml:space="preserve">exit code</x:t>
    </x:r>
    <x:r>
      <x:rPr>
        <x:sz val="900"/>
        <x:color rgb="FF24323D"/>
        <x:rFont val="Linux Libertine G"/>
        <x:family val="2"/>
      </x:rPr>
      <x:t xml:space="preserve">、断言与错误统计</x:t>
    </x:r>
  </x:si>
  <x:si>
    <x:t xml:space="preserve">关键路径无测试；失败非原子；结果可重复</x:t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</x:si>
  <x:si>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</x:t>
    </x:r>
    <x:r>
      <x:rPr>
        <x:sz val="900"/>
        <x:color rgb="FF24323D"/>
        <x:rFont val="Hiragino Sans GB"/>
      </x:rPr>
      <x:t xml:space="preserve">V4 runner 126 </x:t>
    </x:r>
    <x:r>
      <x:rPr>
        <x:sz val="900"/>
        <x:color rgb="FF24323D"/>
        <x:rFont val="Linux Libertine G"/>
        <x:family val="2"/>
      </x:rPr>
      <x:t xml:space="preserve">条明确断言；真实 </x:t>
    </x:r>
    <x:r>
      <x:rPr>
        <x:sz val="900"/>
        <x:color rgb="FF24323D"/>
        <x:rFont val="Hiragino Sans GB"/>
      </x:rPr>
      <x:t xml:space="preserve">Viewport/SceneTree </x:t>
    </x:r>
    <x:r>
      <x:rPr>
        <x:sz val="900"/>
        <x:color rgb="FF24323D"/>
        <x:rFont val="Linux Libertine G"/>
        <x:family val="2"/>
      </x:rPr>
      <x:t xml:space="preserve">输入分发、失败原子、一次性结算通过。</x:t>
    </x:r>
  </x:si>
  <x:si>
    <x:t xml:space="preserve">V4-G3</x:t>
  </x:si>
  <x:si>
    <x:t xml:space="preserve">全量回归通过</x:t>
  </x:si>
  <x:si>
    <x:r>
      <x:rPr>
        <x:sz val="900"/>
        <x:color rgb="FF24323D"/>
        <x:rFont val="Linux Libertine G"/>
        <x:family val="2"/>
      </x:rPr>
      <x:t xml:space="preserve">全部 </x:t>
    </x:r>
    <x:r>
      <x:rPr>
        <x:sz val="900"/>
        <x:color rgb="FF24323D"/>
        <x:rFont val="Hiragino Sans GB"/>
      </x:rPr>
      <x:t xml:space="preserve">tracked runner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editor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scene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UID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diff check </x:t>
    </x:r>
    <x:r>
      <x:rPr>
        <x:sz val="900"/>
        <x:color rgb="FF24323D"/>
        <x:rFont val="Linux Libertine G"/>
        <x:family val="2"/>
      </x:rPr>
      <x:t xml:space="preserve">完整日志和统计</x:t>
    </x:r>
  </x:si>
  <x:si>
    <x:t xml:space="preserve">任何既有回归失败或未知新增错误</x:t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</x:si>
  <x:si>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</x:t>
    </x:r>
    <x:r>
      <x:rPr>
        <x:sz val="900"/>
        <x:color rgb="FF24323D"/>
        <x:rFont val="Hiragino Sans GB"/>
      </x:rPr>
      <x:t xml:space="preserve">27/27 tracked runner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1490 </x:t>
    </x:r>
    <x:r>
      <x:rPr>
        <x:sz val="900"/>
        <x:color rgb="FF24323D"/>
        <x:rFont val="Linux Libertine G"/>
        <x:family val="2"/>
      </x:rPr>
      <x:t xml:space="preserve">条明确断言 </x:t>
    </x:r>
    <x:r>
      <x:rPr>
        <x:sz val="900"/>
        <x:color rgb="FF24323D"/>
        <x:rFont val="Hiragino Sans GB"/>
      </x:rPr>
      <x:t xml:space="preserve">+ 27 summaries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editor/scene/UID/diff/error scan </x:t>
    </x:r>
    <x:r>
      <x:rPr>
        <x:sz val="900"/>
        <x:color rgb="FF24323D"/>
        <x:rFont val="Linux Libertine G"/>
        <x:family val="2"/>
      </x:rPr>
      <x:t xml:space="preserve">全部通过。</x:t>
    </x:r>
  </x:si>
  <x:si>
    <x:t xml:space="preserve">V4-G4</x:t>
  </x:si>
  <x:si>
    <x:t xml:space="preserve">实际窗口验证通过</x:t>
  </x:si>
  <x:si>
    <x:r>
      <x:rPr>
        <x:sz val="900"/>
        <x:color rgb="FF24323D"/>
        <x:rFont val="Linux Libertine G"/>
        <x:family val="2"/>
      </x:rPr>
      <x:t xml:space="preserve">标准启动器、当前身份窗口、实体操作截图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录像、</x:t>
    </x:r>
    <x:r>
      <x:rPr>
        <x:sz val="900"/>
        <x:color rgb="FF24323D"/>
        <x:rFont val="Hiragino Sans GB"/>
      </x:rPr>
      <x:t xml:space="preserve">PID</x:t>
    </x:r>
    <x:r>
      <x:rPr>
        <x:sz val="900"/>
        <x:color rgb="FF24323D"/>
        <x:rFont val="Linux Libertine G"/>
        <x:family val="2"/>
      </x:rPr>
      <x:t xml:space="preserve">、标题、步骤结果</x:t>
    </x:r>
  </x:si>
  <x:si>
    <x:t xml:space="preserve">自动注入代替实体体验；版本身份不明</x:t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</x:si>
  <x:si>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：正式启动器新 </x:t>
    </x:r>
    <x:r>
      <x:rPr>
        <x:sz val="900"/>
        <x:color rgb="FF24323D"/>
        <x:rFont val="Hiragino Sans GB"/>
      </x:rPr>
      <x:t xml:space="preserve">PID 77081</x:t>
    </x:r>
    <x:r>
      <x:rPr>
        <x:sz val="900"/>
        <x:color rgb="FF24323D"/>
        <x:rFont val="Linux Libertine G"/>
        <x:family val="2"/>
      </x:rPr>
      <x:t xml:space="preserve">；右键六点位、</x:t>
    </x:r>
    <x:r>
      <x:rPr>
        <x:sz val="900"/>
        <x:color rgb="FF24323D"/>
        <x:rFont val="Hiragino Sans GB"/>
      </x:rPr>
      <x:t xml:space="preserve">Esc</x:t>
    </x:r>
    <x:r>
      <x:rPr>
        <x:sz val="900"/>
        <x:color rgb="FF24323D"/>
        <x:rFont val="Linux Libertine G"/>
        <x:family val="2"/>
      </x:rPr>
      <x:t xml:space="preserve">、关闭按钮、</x:t>
    </x:r>
    <x:r>
      <x:rPr>
        <x:sz val="900"/>
        <x:color rgb="FF24323D"/>
        <x:rFont val="Hiragino Sans GB"/>
      </x:rPr>
      <x:t xml:space="preserve">50% </x:t>
    </x:r>
    <x:r>
      <x:rPr>
        <x:sz val="900"/>
        <x:color rgb="FF24323D"/>
        <x:rFont val="Linux Libertine G"/>
        <x:family val="2"/>
      </x:rPr>
      <x:t xml:space="preserve">调遣、双驻军、并发阻断、单次结算、回城重进均通过。</x:t>
    </x:r>
  </x:si>
  <x:si>
    <x:t xml:space="preserve">V4-G5</x:t>
  </x:si>
  <x:si>
    <x:r>
      <x:rPr>
        <x:sz val="900"/>
        <x:color rgb="FF24323D"/>
        <x:rFont val="Linux Libertine G"/>
        <x:family val="2"/>
      </x:rPr>
      <x:t xml:space="preserve">独立 </x:t>
    </x:r>
    <x:r>
      <x:rPr>
        <x:sz val="900"/>
        <x:color rgb="FF24323D"/>
        <x:rFont val="Hiragino Sans GB"/>
      </x:rPr>
      <x:t xml:space="preserve">Agent </x:t>
    </x:r>
    <x:r>
      <x:rPr>
        <x:sz val="900"/>
        <x:color rgb="FF24323D"/>
        <x:rFont val="Linux Libertine G"/>
        <x:family val="2"/>
      </x:rPr>
      <x:t xml:space="preserve">复查通过</x:t>
    </x:r>
  </x:si>
  <x:si>
    <x:r>
      <x:rPr>
        <x:sz val="900"/>
        <x:color rgb="FF24323D"/>
        <x:rFont val="Linux Libertine G"/>
        <x:family val="2"/>
      </x:rPr>
      <x:t xml:space="preserve">独立重跑关键测试、</x:t>
    </x:r>
    <x:r>
      <x:rPr>
        <x:sz val="900"/>
        <x:color rgb="FF24323D"/>
        <x:rFont val="Hiragino Sans GB"/>
      </x:rPr>
      <x:t xml:space="preserve">diff </x:t>
    </x:r>
    <x:r>
      <x:rPr>
        <x:sz val="900"/>
        <x:color rgb="FF24323D"/>
        <x:rFont val="Linux Libertine G"/>
        <x:family val="2"/>
      </x:rPr>
      <x:t xml:space="preserve">审查、结构化 </x:t>
    </x:r>
    <x:r>
      <x:rPr>
        <x:sz val="900"/>
        <x:color rgb="FF24323D"/>
        <x:rFont val="Hiragino Sans GB"/>
      </x:rPr>
      <x:t xml:space="preserve">review </x:t>
    </x:r>
    <x:r>
      <x:rPr>
        <x:sz val="900"/>
        <x:color rgb="FF24323D"/>
        <x:rFont val="Linux Libertine G"/>
        <x:family val="2"/>
      </x:rPr>
      <x:t xml:space="preserve">报告与 </x:t>
    </x:r>
    <x:r>
      <x:rPr>
        <x:sz val="900"/>
        <x:color rgb="FF24323D"/>
        <x:rFont val="Hiragino Sans GB"/>
      </x:rPr>
      <x:t xml:space="preserve">verdict</x:t>
    </x:r>
  </x:si>
  <x:si>
    <x:r>
      <x:rPr>
        <x:sz val="900"/>
        <x:color rgb="FF24323D"/>
        <x:rFont val="Linux Libertine G"/>
        <x:family val="2"/>
      </x:rPr>
      <x:t xml:space="preserve">实现者自证；阻断 </x:t>
    </x:r>
    <x:r>
      <x:rPr>
        <x:sz val="900"/>
        <x:color rgb="FF24323D"/>
        <x:rFont val="Hiragino Sans GB"/>
      </x:rPr>
      <x:t xml:space="preserve">finding </x:t>
    </x:r>
    <x:r>
      <x:rPr>
        <x:sz val="900"/>
        <x:color rgb="FF24323D"/>
        <x:rFont val="Linux Libertine G"/>
        <x:family val="2"/>
      </x:rPr>
      <x:t xml:space="preserve">未关闭</x:t>
    </x:r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</x:si>
  <x:si>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：独立复审报告 </x:t>
    </x:r>
    <x:r>
      <x:rPr>
        <x:sz val="900"/>
        <x:color rgb="FF24323D"/>
        <x:rFont val="Hiragino Sans GB"/>
      </x:rPr>
      <x:t xml:space="preserve">RVW-V4-P5-002</x:t>
    </x:r>
    <x:r>
      <x:rPr>
        <x:sz val="900"/>
        <x:color rgb="FF24323D"/>
        <x:rFont val="Linux Libertine G"/>
        <x:family val="2"/>
      </x:rPr>
      <x:t xml:space="preserve">；此前三个 </x:t>
    </x:r>
    <x:r>
      <x:rPr>
        <x:sz val="900"/>
        <x:color rgb="FF24323D"/>
        <x:rFont val="Hiragino Sans GB"/>
      </x:rPr>
      <x:t xml:space="preserve">IMPORTANT </x:t>
    </x:r>
    <x:r>
      <x:rPr>
        <x:sz val="900"/>
        <x:color rgb="FF24323D"/>
        <x:rFont val="Linux Libertine G"/>
        <x:family val="2"/>
      </x:rPr>
      <x:t xml:space="preserve">全部关闭；无新增 </x:t>
    </x:r>
    <x:r>
      <x:rPr>
        <x:sz val="900"/>
        <x:color rgb="FF24323D"/>
        <x:rFont val="Hiragino Sans GB"/>
      </x:rPr>
      <x:t xml:space="preserve">BLOCKER/IMPORTANT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</x:si>
  <x:si>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用户试玩并形成阶段冻结</x:t>
  </x:si>
  <x:si>
    <x:t xml:space="preserve">V4-P6-T001,V4-P6-T002</x:t>
  </x:si>
  <x:si>
    <x:t xml:space="preserve">T-V4-003,T-GIT-001</x:t>
  </x:si>
  <x:si>
    <x:r>
      <x:rPr>
        <x:sz val="900"/>
        <x:color rgb="FF24323D"/>
        <x:rFont val="Linux Libertine G"/>
        <x:family val="2"/>
      </x:rPr>
      <x:t xml:space="preserve">用户体验结论、最终 </x:t>
    </x:r>
    <x:r>
      <x:rPr>
        <x:sz val="900"/>
        <x:color rgb="FF24323D"/>
        <x:rFont val="Hiragino Sans GB"/>
      </x:rPr>
      <x:t xml:space="preserve">diff</x:t>
    </x:r>
    <x:r>
      <x:rPr>
        <x:sz val="900"/>
        <x:color rgb="FF24323D"/>
        <x:rFont val="Linux Libertine G"/>
        <x:family val="2"/>
      </x:rPr>
      <x:t xml:space="preserve">、原子提交、</x:t>
    </x:r>
    <x:r>
      <x:rPr>
        <x:sz val="900"/>
        <x:color rgb="FF24323D"/>
        <x:rFont val="Hiragino Sans GB"/>
      </x:rPr>
      <x:t xml:space="preserve">clean/</x:t>
    </x:r>
    <x:r>
      <x:rPr>
        <x:sz val="900"/>
        <x:color rgb="FF24323D"/>
        <x:rFont val="Linux Libertine G"/>
        <x:family val="2"/>
      </x:rPr>
      <x:t xml:space="preserve">保护状态</x:t>
    </x:r>
  </x:si>
  <x:si>
    <x:r>
      <x:rPr>
        <x:sz val="900"/>
        <x:color rgb="FF24323D"/>
        <x:rFont val="Linux Libertine G"/>
        <x:family val="2"/>
      </x:rPr>
      <x:t xml:space="preserve">体验未接受；无回滚点；混入无关 </x:t>
    </x:r>
    <x:r>
      <x:rPr>
        <x:sz val="900"/>
        <x:color rgb="FF24323D"/>
        <x:rFont val="Hiragino Sans GB"/>
      </x:rPr>
      <x:t xml:space="preserve">dirty</x:t>
    </x:r>
  </x:si>
  <x:si>
    <x:t xml:space="preserve">User + Main Codex</x:t>
  </x:si>
  <x:si>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：用户明确接受 </x:t>
    </x:r>
    <x:r>
      <x:rPr>
        <x:sz val="900"/>
        <x:color rgb="FF24323D"/>
        <x:rFont val="Hiragino Sans GB"/>
      </x:rPr>
      <x:t xml:space="preserve">Review 002 </x:t>
    </x:r>
    <x:r>
      <x:rPr>
        <x:sz val="900"/>
        <x:color rgb="FF24323D"/>
        <x:rFont val="Linux Libertine G"/>
        <x:family val="2"/>
      </x:rPr>
      <x:t xml:space="preserve">并授权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整体 </x:t>
    </x:r>
    <x:r>
      <x:rPr>
        <x:sz val="900"/>
        <x:color rgb="FF24323D"/>
        <x:rFont val="Hiragino Sans GB"/>
      </x:rPr>
      <x:t xml:space="preserve">Gate</x:t>
    </x:r>
    <x:r>
      <x:rPr>
        <x:sz val="900"/>
        <x:color rgb="FF24323D"/>
        <x:rFont val="Linux Libertine G"/>
        <x:family val="2"/>
      </x:rPr>
      <x:t xml:space="preserve">；八态 </x:t>
    </x:r>
    <x:r>
      <x:rPr>
        <x:sz val="900"/>
        <x:color rgb="FF24323D"/>
        <x:rFont val="Hiragino Sans GB"/>
      </x:rPr>
      <x:t xml:space="preserve">1152×648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150 Blackstone assertions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59 C0 assertions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tracked 27/27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all-present 29/29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scene/editor/diff/error scan </x:t>
    </x:r>
    <x:r>
      <x:rPr>
        <x:sz val="900"/>
        <x:color rgb="FF24323D"/>
        <x:rFont val="Linux Libertine G"/>
        <x:family val="2"/>
      </x:rPr>
      <x:t xml:space="preserve">全通过；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排除；本地 </x:t>
    </x:r>
    <x:r>
      <x:rPr>
        <x:sz val="900"/>
        <x:color rgb="FF24323D"/>
        <x:rFont val="Hiragino Sans GB"/>
      </x:rPr>
      <x:t xml:space="preserve">checkpoint </x:t>
    </x:r>
    <x:r>
      <x:rPr>
        <x:sz val="900"/>
        <x:color rgb="FF24323D"/>
        <x:rFont val="Linux Libertine G"/>
        <x:family val="2"/>
      </x:rPr>
      <x:t xml:space="preserve">形成。</x:t>
    </x:r>
  </x:si>
  <x:si>
    <x:t xml:space="preserve">V5-P0-T002,V5-P0-T003,V5-P0-T004,V5-P0-T005,V5-P1-T003,V5-P2-T001,V5-P2-T004,V5-P3-T001,V5-P4-T001,V5-P5-T001,V5-P5-T002</x:t>
  </x:si>
  <x:si>
    <x:t xml:space="preserve">T-V5_P0_T002,T-V5_P0_T003,T-V5_P0_T004,T-V5_P0_T005,T-V5_P1_T003,T-V5_P2_T001,T-V5_P2_T004,T-V5_P3_T001,T-V5_P4_T001,T-V5_P5_T001,T-V5_P5_T002</x:t>
  </x:si>
  <x:si>
    <x:t xml:space="preserve">V5-P1-T001,V5-P1-T002,V5-P1-T003,V5-P1-T004,V5-P1-T005,V5-P1-T006,V5-P2-T002,V5-P2-T003,V5-P2-T004,V5-P2-T005,V5-P2-T006,V5-P2-T007,V5-P3-T002,V5-P3-T003,V5-P3-T004,V5-P3-T005,V5-P3-T006,V5-P4-T002,V5-P4-T003,V5-P4-T004,V5-P5-T003,V5-P5-T004,V5-P5-T005</x:t>
  </x:si>
  <x:si>
    <x:t xml:space="preserve">T-V5_P1_T001,T-V5_P1_T002,T-V5_P1_T003,T-V5_P1_T004,T-V5_P1_T005,T-V5_P1_T006,T-V5_P2_T002,T-V5_P2_T003,T-V5_P2_T004,T-V5_P2_T005,T-V5_P2_T006,T-V5_P2_T007,T-V5_P3_T002,T-V5_P3_T003,T-V5_P3_T004,T-V5_P3_T005,T-V5_P3_T006,T-V5_P4_T002,T-V5_P4_T003,T-V5_P4_T004,T-V5_P5_T003,T-V5_P5_T004,T-V5_P5_T005</x:t>
  </x:si>
  <x:si>
    <x:t xml:space="preserve">V5-P4-T005,V5-P7-T001,V5-P7-T002,V5-P7-T003</x:t>
  </x:si>
  <x:si>
    <x:t xml:space="preserve">T-V5_P4_T005,T-V5_P7_T001,T-V5_P7_T002,T-V5_P7_T003</x:t>
  </x:si>
  <x:si>
    <x:t xml:space="preserve">V5-P6-T001,V5-P6-T002,V5-P6-T003,V5-P7-T004</x:t>
  </x:si>
  <x:si>
    <x:t xml:space="preserve">T-V5_P6_T001,T-V5_P6_T002,T-V5_P6_T003,T-V5_P7_T004</x:t>
  </x:si>
  <x:si>
    <x:t xml:space="preserve">V5-P7-T005,V5-P7-T006</x:t>
  </x:si>
  <x:si>
    <x:t xml:space="preserve">T-V5_P7_T005,T-V5_P7_T006</x:t>
  </x:si>
  <x:si>
    <x:t xml:space="preserve">V6-G0</x:t>
  </x:si>
  <x:si>
    <x:t xml:space="preserve">V6-P0-T001,V6-P0-T002</x:t>
  </x:si>
  <x:si>
    <x:t xml:space="preserve">T-V6_P0_T001,T-V6_P0_T002</x:t>
  </x:si>
  <x:si>
    <x:t xml:space="preserve">V6-P1-T001,V6-P1-T002,V6-P1-T003,V6-P1-T004,V6-P1-T005,V6-P2-T001,V6-P2-T002,V6-P3-T001,V6-P3-T002</x:t>
  </x:si>
  <x:si>
    <x:t xml:space="preserve">T-V6_P1_T001,T-V6_P1_T002,T-V6_P1_T003,T-V6_P1_T004,T-V6_P1_T005,T-V6_P2_T001,T-V6_P2_T002,T-V6_P3_T001,T-V6_P3_T002</x:t>
  </x:si>
  <x:si>
    <x:t xml:space="preserve">V6-P4-T001,V6-P5-T002</x:t>
  </x:si>
  <x:si>
    <x:t xml:space="preserve">T-V6_P4_T001,T-V6_P5_T002</x:t>
  </x:si>
  <x:si>
    <x:t xml:space="preserve">V6-G5</x:t>
  </x:si>
  <x:si>
    <x:t xml:space="preserve">V6-G6</x:t>
  </x:si>
  <x:si>
    <x:t xml:space="preserve">V6-P5-T002,V6-P5-T003</x:t>
  </x:si>
  <x:si>
    <x:t xml:space="preserve">T-V6_P5_T002,T-V6_P5_T003</x:t>
  </x:si>
  <x:si>
    <x:t xml:space="preserve">V7-G0</x:t>
  </x:si>
  <x:si>
    <x:r>
      <x:rPr>
        <x:sz val="900"/>
        <x:color rgb="FF24323D"/>
        <x:rFont val="Linux Libertine G"/>
        <x:family val="2"/>
      </x:rPr>
      <x:t xml:space="preserve">备份 </x:t>
    </x:r>
    <x:r>
      <x:rPr>
        <x:sz val="900"/>
        <x:color rgb="FF24323D"/>
        <x:rFont val="Hiragino Sans GB"/>
      </x:rPr>
      <x:t xml:space="preserve">patch</x:t>
    </x:r>
    <x:r>
      <x:rPr>
        <x:sz val="900"/>
        <x:color rgb="FF24323D"/>
        <x:rFont val="Linux Libertine G"/>
        <x:family val="2"/>
      </x:rPr>
      <x:t xml:space="preserve">、基线表、差异清单；核对 </x:t>
    </x:r>
    <x:r>
      <x:rPr>
        <x:sz val="900"/>
        <x:color rgb="FF24323D"/>
        <x:rFont val="Hiragino Sans GB"/>
      </x:rPr>
      <x:t xml:space="preserve">git/status/diff/HEAD/</x:t>
    </x:r>
    <x:r>
      <x:rPr>
        <x:sz val="900"/>
        <x:color rgb="FF24323D"/>
        <x:rFont val="Linux Libertine G"/>
        <x:family val="2"/>
      </x:rPr>
      <x:t xml:space="preserve">保护哈希；相关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</x:si>
  <x:si>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V7-G1</x:t>
  </x:si>
  <x:si>
    <x:r>
      <x:rPr>
        <x:sz val="900"/>
        <x:color rgb="FF24323D"/>
        <x:rFont val="Linux Libertine G"/>
        <x:family val="2"/>
      </x:rPr>
      <x:t xml:space="preserve">唯一写入者表、生命周期、迁移边界、</x:t>
    </x:r>
    <x:r>
      <x:rPr>
        <x:sz val="900"/>
        <x:color rgb="FF24323D"/>
        <x:rFont val="Hiragino Sans GB"/>
      </x:rPr>
      <x:t xml:space="preserve">review verdict</x:t>
    </x:r>
    <x:r>
      <x:rPr>
        <x:sz val="900"/>
        <x:color rgb="FF24323D"/>
        <x:rFont val="Linux Libertine G"/>
        <x:family val="2"/>
      </x:rPr>
      <x:t xml:space="preserve">；现有实现查重；相关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</x:si>
  <x:si>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V7-P1-T002,V7-P2-T003</x:t>
  </x:si>
  <x:si>
    <x:r>
      <x:rPr>
        <x:sz val="900"/>
        <x:color rgb="FF24323D"/>
        <x:rFont val="Linux Libertine G"/>
        <x:family val="2"/>
      </x:rPr>
      <x:t xml:space="preserve">专项 </x:t>
    </x:r>
    <x:r>
      <x:rPr>
        <x:sz val="900"/>
        <x:color rgb="FF24323D"/>
        <x:rFont val="Hiragino Sans GB"/>
      </x:rPr>
      <x:t xml:space="preserve">runner</x:t>
    </x:r>
    <x:r>
      <x:rPr>
        <x:sz val="900"/>
        <x:color rgb="FF24323D"/>
        <x:rFont val="Linux Libertine G"/>
        <x:family val="2"/>
      </x:rPr>
      <x:t xml:space="preserve">、幂等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失败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迁移测试的命令、</x:t>
    </x:r>
    <x:r>
      <x:rPr>
        <x:sz val="900"/>
        <x:color rgb="FF24323D"/>
        <x:rFont val="Hiragino Sans GB"/>
      </x:rPr>
      <x:t xml:space="preserve">exit code</x:t>
    </x:r>
    <x:r>
      <x:rPr>
        <x:sz val="900"/>
        <x:color rgb="FF24323D"/>
        <x:rFont val="Linux Libertine G"/>
        <x:family val="2"/>
      </x:rPr>
      <x:t xml:space="preserve">、断言与错误统计；相关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</x:si>
  <x:si>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V7-G3</x:t>
  </x:si>
  <x:si>
    <x:r>
      <x:rPr>
        <x:sz val="900"/>
        <x:color rgb="FF24323D"/>
        <x:rFont val="Linux Libertine G"/>
        <x:family val="2"/>
      </x:rPr>
      <x:t xml:space="preserve">全部 </x:t>
    </x:r>
    <x:r>
      <x:rPr>
        <x:sz val="900"/>
        <x:color rgb="FF24323D"/>
        <x:rFont val="Hiragino Sans GB"/>
      </x:rPr>
      <x:t xml:space="preserve">tracked runner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editor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scene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UID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diff check </x:t>
    </x:r>
    <x:r>
      <x:rPr>
        <x:sz val="900"/>
        <x:color rgb="FF24323D"/>
        <x:rFont val="Linux Libertine G"/>
        <x:family val="2"/>
      </x:rPr>
      <x:t xml:space="preserve">完整日志和统计；相关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</x:si>
  <x:si>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V7-G4</x:t>
  </x:si>
  <x:si>
    <x:r>
      <x:rPr>
        <x:sz val="900"/>
        <x:color rgb="FF24323D"/>
        <x:rFont val="Linux Libertine G"/>
        <x:family val="2"/>
      </x:rPr>
      <x:t xml:space="preserve">标准启动器、当前身份窗口、实体操作截图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录像、</x:t>
    </x:r>
    <x:r>
      <x:rPr>
        <x:sz val="900"/>
        <x:color rgb="FF24323D"/>
        <x:rFont val="Hiragino Sans GB"/>
      </x:rPr>
      <x:t xml:space="preserve">PID</x:t>
    </x:r>
    <x:r>
      <x:rPr>
        <x:sz val="900"/>
        <x:color rgb="FF24323D"/>
        <x:rFont val="Linux Libertine G"/>
        <x:family val="2"/>
      </x:rPr>
      <x:t xml:space="preserve">、标题、步骤结果；相关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</x:si>
  <x:si>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V7-G5</x:t>
  </x:si>
  <x:si>
    <x:r>
      <x:rPr>
        <x:sz val="900"/>
        <x:color rgb="FF24323D"/>
        <x:rFont val="Linux Libertine G"/>
        <x:family val="2"/>
      </x:rPr>
      <x:t xml:space="preserve">独立重跑关键测试、</x:t>
    </x:r>
    <x:r>
      <x:rPr>
        <x:sz val="900"/>
        <x:color rgb="FF24323D"/>
        <x:rFont val="Hiragino Sans GB"/>
      </x:rPr>
      <x:t xml:space="preserve">diff </x:t>
    </x:r>
    <x:r>
      <x:rPr>
        <x:sz val="900"/>
        <x:color rgb="FF24323D"/>
        <x:rFont val="Linux Libertine G"/>
        <x:family val="2"/>
      </x:rPr>
      <x:t xml:space="preserve">审查、结构化 </x:t>
    </x:r>
    <x:r>
      <x:rPr>
        <x:sz val="900"/>
        <x:color rgb="FF24323D"/>
        <x:rFont val="Hiragino Sans GB"/>
      </x:rPr>
      <x:t xml:space="preserve">review </x:t>
    </x:r>
    <x:r>
      <x:rPr>
        <x:sz val="900"/>
        <x:color rgb="FF24323D"/>
        <x:rFont val="Linux Libertine G"/>
        <x:family val="2"/>
      </x:rPr>
      <x:t xml:space="preserve">报告与 </x:t>
    </x:r>
    <x:r>
      <x:rPr>
        <x:sz val="900"/>
        <x:color rgb="FF24323D"/>
        <x:rFont val="Hiragino Sans GB"/>
      </x:rPr>
      <x:t xml:space="preserve">verdict</x:t>
    </x:r>
    <x:r>
      <x:rPr>
        <x:sz val="900"/>
        <x:color rgb="FF24323D"/>
        <x:rFont val="Linux Libertine G"/>
        <x:family val="2"/>
      </x:rPr>
      <x:t xml:space="preserve">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</x:si>
  <x:si>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V7-G6</x:t>
  </x:si>
  <x:si>
    <x:r>
      <x:rPr>
        <x:sz val="900"/>
        <x:color rgb="FF24323D"/>
        <x:rFont val="Linux Libertine G"/>
        <x:family val="2"/>
      </x:rPr>
      <x:t xml:space="preserve">用户体验结论、最终 </x:t>
    </x:r>
    <x:r>
      <x:rPr>
        <x:sz val="900"/>
        <x:color rgb="FF24323D"/>
        <x:rFont val="Hiragino Sans GB"/>
      </x:rPr>
      <x:t xml:space="preserve">diff</x:t>
    </x:r>
    <x:r>
      <x:rPr>
        <x:sz val="900"/>
        <x:color rgb="FF24323D"/>
        <x:rFont val="Linux Libertine G"/>
        <x:family val="2"/>
      </x:rPr>
      <x:t xml:space="preserve">、原子提交、</x:t>
    </x:r>
    <x:r>
      <x:rPr>
        <x:sz val="900"/>
        <x:color rgb="FF24323D"/>
        <x:rFont val="Hiragino Sans GB"/>
      </x:rPr>
      <x:t xml:space="preserve">clean/</x:t>
    </x:r>
    <x:r>
      <x:rPr>
        <x:sz val="900"/>
        <x:color rgb="FF24323D"/>
        <x:rFont val="Linux Libertine G"/>
        <x:family val="2"/>
      </x:rPr>
      <x:t xml:space="preserve">保护状态；相关 </x:t>
    </x:r>
    <x:r>
      <x:rPr>
        <x:sz val="900"/>
        <x:color rgb="FF24323D"/>
        <x:rFont val="Hiragino Sans GB"/>
      </x:rPr>
      <x:t xml:space="preserve">Test ID </x:t>
    </x:r>
    <x:r>
      <x:rPr>
        <x:sz val="900"/>
        <x:color rgb="FF24323D"/>
        <x:rFont val="Linux Libertine G"/>
        <x:family val="2"/>
      </x:rPr>
      <x:t xml:space="preserve">在阶段开工前登记，本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当前不得验证</x:t>
    </x:r>
  </x:si>
  <x:si>
    <x:t xml:space="preserve">V8-G0</x:t>
  </x:si>
  <x:si>
    <x:t xml:space="preserve">V8-G1</x:t>
  </x:si>
  <x:si>
    <x:t xml:space="preserve">V8-P1-T002,V8-P2-T003</x:t>
  </x:si>
  <x:si>
    <x:t xml:space="preserve">V8-G3</x:t>
  </x:si>
  <x:si>
    <x:t xml:space="preserve">V8-G4</x:t>
  </x:si>
  <x:si>
    <x:t xml:space="preserve">V8-G5</x:t>
  </x:si>
  <x:si>
    <x:t xml:space="preserve">V8-G6</x:t>
  </x:si>
  <x:si>
    <x:t xml:space="preserve">V9-G0</x:t>
  </x:si>
  <x:si>
    <x:t xml:space="preserve">V9-G1</x:t>
  </x:si>
  <x:si>
    <x:t xml:space="preserve">V9-P1-T002,V9-P2-T003</x:t>
  </x:si>
  <x:si>
    <x:t xml:space="preserve">V9-G3</x:t>
  </x:si>
  <x:si>
    <x:t xml:space="preserve">V9-G4</x:t>
  </x:si>
  <x:si>
    <x:t xml:space="preserve">V9-G5</x:t>
  </x:si>
  <x:si>
    <x:t xml:space="preserve">V9-G6</x:t>
  </x:si>
  <x:si>
    <x:t xml:space="preserve">V10-G0</x:t>
  </x:si>
  <x:si>
    <x:t xml:space="preserve">V10-G1</x:t>
  </x:si>
  <x:si>
    <x:t xml:space="preserve">V10-P1-T002,V10-P2-T003</x:t>
  </x:si>
  <x:si>
    <x:t xml:space="preserve">V10-G3</x:t>
  </x:si>
  <x:si>
    <x:t xml:space="preserve">V10-G4</x:t>
  </x:si>
  <x:si>
    <x:t xml:space="preserve">V10-G5</x:t>
  </x:si>
  <x:si>
    <x:t xml:space="preserve">V10-G6</x:t>
  </x:si>
  <x:si>
    <x:t xml:space="preserve">V11-G0</x:t>
  </x:si>
  <x:si>
    <x:t xml:space="preserve">V11-G1</x:t>
  </x:si>
  <x:si>
    <x:t xml:space="preserve">V11-P1-T002,V11-P2-T003</x:t>
  </x:si>
  <x:si>
    <x:t xml:space="preserve">V11-G3</x:t>
  </x:si>
  <x:si>
    <x:t xml:space="preserve">V11-G4</x:t>
  </x:si>
  <x:si>
    <x:t xml:space="preserve">V11-G5</x:t>
  </x:si>
  <x:si>
    <x:t xml:space="preserve">V11-G6</x:t>
  </x:si>
  <x:si>
    <x:t xml:space="preserve">V12-G0</x:t>
  </x:si>
  <x:si>
    <x:t xml:space="preserve">V12-G1</x:t>
  </x:si>
  <x:si>
    <x:t xml:space="preserve">V12-P1-T002,V12-P2-T003</x:t>
  </x:si>
  <x:si>
    <x:t xml:space="preserve">V12-G3</x:t>
  </x:si>
  <x:si>
    <x:t xml:space="preserve">V12-G4</x:t>
  </x:si>
  <x:si>
    <x:t xml:space="preserve">V12-G5</x:t>
  </x:si>
  <x:si>
    <x:t xml:space="preserve">V12-G6</x:t>
  </x:si>
  <x:si>
    <x:t xml:space="preserve">需求—任务—测试验收矩阵</x:t>
  </x:si>
  <x:si>
    <x:t xml:space="preserve">关键需求必须映射任务、测试和证据；自动测试不替代真实窗口或用户体验。</x:t>
  </x:si>
  <x:si>
    <x:t xml:space="preserve">Requirement ID</x:t>
  </x:si>
  <x:si>
    <x:t xml:space="preserve">Requirement</x:t>
  </x:si>
  <x:si>
    <x:t xml:space="preserve">Source</x:t>
  </x:si>
  <x:si>
    <x:t xml:space="preserve">Related Task IDs</x:t>
  </x:si>
  <x:si>
    <x:t xml:space="preserve">Related Test IDs</x:t>
  </x:si>
  <x:si>
    <x:r>
      <x:rPr>
        <x:b/>
        <x:sz val="1000"/>
        <x:color rgb="FFFFFFFF"/>
        <x:rFont val="Hiragino Sans GB"/>
      </x:rPr>
      <x:t xml:space="preserve">Automated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Manual</x:t>
    </x:r>
  </x:si>
  <x:si>
    <x:t xml:space="preserve">Evidence Required</x:t>
  </x:si>
  <x:si>
    <x:t xml:space="preserve">Current Result</x:t>
  </x:si>
  <x:si>
    <x:t xml:space="preserve">Reviewer Result</x:t>
  </x:si>
  <x:si>
    <x:t xml:space="preserve">Final Status</x:t>
  </x:si>
  <x:si>
    <x:t xml:space="preserve">REQ-V4-001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</x:si>
  <x:si>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派遣状态机可取消、不可重入且抵达只结算一次</x:t>
    </x:r>
  </x:si>
  <x:si>
    <x:r>
      <x:rPr>
        <x:sz val="900"/>
        <x:color rgb="FF24323D"/>
        <x:rFont val="Linux Libertine G"/>
        <x:family val="2"/>
      </x:rPr>
      <x:t xml:space="preserve">当前 </x:t>
    </x:r>
    <x:r>
      <x:rPr>
        <x:sz val="900"/>
        <x:color rgb="FF24323D"/>
        <x:rFont val="Hiragino Sans GB"/>
      </x:rPr>
      <x:t xml:space="preserve">dirty code + </x:t>
    </x:r>
    <x:r>
      <x:rPr>
        <x:sz val="900"/>
        <x:color rgb="FF24323D"/>
        <x:rFont val="Linux Libertine G"/>
        <x:family val="2"/>
      </x:rPr>
      <x:t xml:space="preserve">用户方向</x:t>
    </x:r>
  </x:si>
  <x:si>
    <x:t xml:space="preserve">V4-P5-T001,V4-P6-T001</x:t>
  </x:si>
  <x:si>
    <x:t xml:space="preserve">T-REG-001,T-V4-001,T-V4-002,T-V4-003</x:t>
  </x:si>
  <x:si>
    <x:t xml:space="preserve">Both</x:t>
  </x:si>
  <x:si>
    <x:t xml:space="preserve">state snapshots + physical mouse path</x:t>
  </x:si>
  <x:si>
    <x:t xml:space="preserve">PASS_FINAL_GATE</x:t>
  </x:si>
  <x:si>
    <x:t xml:space="preserve">ACCEPTED</x:t>
  </x:si>
  <x:si>
    <x:t xml:space="preserve">REQ-V4-002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</x:si>
  <x:si>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不修改 </x:t>
    </x:r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八个保护文件</x:t>
    </x:r>
  </x:si>
  <x:si>
    <x:t xml:space="preserve">任务边界</x:t>
  </x:si>
  <x:si>
    <x:t xml:space="preserve">V4-P5-T001,V4-P6-T002</x:t>
  </x:si>
  <x:si>
    <x:t xml:space="preserve">Automated</x:t>
  </x:si>
  <x:si>
    <x:t xml:space="preserve">SHA-256 before/after</x:t>
  </x:si>
  <x:si>
    <x:t xml:space="preserve">PASS_MAIN_AGENT</x:t>
  </x:si>
  <x:si>
    <x:t xml:space="preserve">REQ-V5-001</x:t>
  </x:si>
  <x:si>
    <x:t xml:space="preserve">每个持久兵力字段只有一个权威写入者</x:t>
  </x:si>
  <x:si>
    <x:t xml:space="preserve">长期架构原则</x:t>
  </x:si>
  <x:si>
    <x:t xml:space="preserve">V5-P0-T002,V5-P1-T002</x:t>
  </x:si>
  <x:si>
    <x:t xml:space="preserve">T-V5_P0_T002,T-V5_P1_T002</x:t>
  </x:si>
  <x:si>
    <x:t xml:space="preserve">Automated+Review</x:t>
  </x:si>
  <x:si>
    <x:t xml:space="preserve">ownership table + contract test</x:t>
  </x:si>
  <x:si>
    <x:t xml:space="preserve">REQ-V5-002</x:t>
  </x:si>
  <x:si>
    <x:t xml:space="preserve">当前只显示步兵，但数据合同可扩展</x:t>
  </x:si>
  <x:si>
    <x:t xml:space="preserve">V5-P0-T003,V5-P1-T001</x:t>
  </x:si>
  <x:si>
    <x:t xml:space="preserve">contract + no empty UI</x:t>
  </x:si>
  <x:si>
    <x:t xml:space="preserve">REQ-V5-003</x:t>
  </x:si>
  <x:si>
    <x:t xml:space="preserve">本城驻军、预留、在途、伤亡和幸存守恒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</x:si>
  <x:si>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垂直闭环</x:t>
    </x:r>
  </x:si>
  <x:si>
    <x:t xml:space="preserve">V5-P0-T004,V5-P1-T004,V5-P3-T003,V5-P4-T002</x:t>
  </x:si>
  <x:si>
    <x:t xml:space="preserve">T-V5_P1_T005,T-V5_P3_T006</x:t>
  </x:si>
  <x:si>
    <x:t xml:space="preserve">before/after ledgers</x:t>
  </x:si>
  <x:si>
    <x:t xml:space="preserve">REQ-V5-004</x:t>
  </x:si>
  <x:si>
    <x:t xml:space="preserve">训练有真实来源、成本、时间与失败原因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</x:si>
  <x:si>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范围</x:t>
    </x:r>
  </x:si>
  <x:si>
    <x:t xml:space="preserve">V5-P1-T003,V5-P2-T002,V5-P2-T003,V5-P2-T006</x:t>
  </x:si>
  <x:si>
    <x:t xml:space="preserve">Automated+Manual</x:t>
  </x:si>
  <x:si>
    <x:t xml:space="preserve">daily settlement + UI reason</x:t>
  </x:si>
  <x:si>
    <x:t xml:space="preserve">REQ-V5-005</x:t>
  </x:si>
  <x:si>
    <x:t xml:space="preserve">训练完成只进入本城驻军一次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</x:si>
  <x:si>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闭环</x:t>
    </x:r>
  </x:si>
  <x:si>
    <x:t xml:space="preserve">V5-P2-T005,V5-P2-T007</x:t>
  </x:si>
  <x:si>
    <x:t xml:space="preserve">repeat-day/idempotency assertions</x:t>
  </x:si>
  <x:si>
    <x:t xml:space="preserve">REQ-V5-006</x:t>
  </x:si>
  <x:si>
    <x:r>
      <x:rPr>
        <x:sz val="900"/>
        <x:color rgb="FF24323D"/>
        <x:rFont val="Hiragino Sans GB"/>
      </x:rPr>
      <x:t xml:space="preserve">V4 UI </x:t>
    </x:r>
    <x:r>
      <x:rPr>
        <x:sz val="900"/>
        <x:color rgb="FF24323D"/>
        <x:rFont val="Linux Libertine G"/>
        <x:family val="2"/>
      </x:rPr>
      <x:t xml:space="preserve">读取真实驻军而非场景局部 </x:t>
    </x:r>
    <x:r>
      <x:rPr>
        <x:sz val="900"/>
        <x:color rgb="FF24323D"/>
        <x:rFont val="Hiragino Sans GB"/>
      </x:rPr>
      <x:t xml:space="preserve">fixture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</x:si>
  <x:si>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适配</x:t>
    </x:r>
  </x:si>
  <x:si>
    <x:t xml:space="preserve">V5-P3-T002,V5-P6-T003</x:t>
  </x:si>
  <x:si>
    <x:t xml:space="preserve">T-V5_P3_T006,T-V5_P7_T004</x:t>
  </x:si>
  <x:si>
    <x:t xml:space="preserve">city→dispatch evidence</x:t>
  </x:si>
  <x:si>
    <x:t xml:space="preserve">REQ-V5-007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</x:si>
  <x:si>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即采用持久 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集合容器；阶段规则最多一支 </x:t>
    </x:r>
    <x:r>
      <x:rPr>
        <x:sz val="900"/>
        <x:color rgb="FF24323D"/>
        <x:rFont val="Hiragino Sans GB"/>
      </x:rPr>
      <x:t xml:space="preserve">active</x:t>
    </x:r>
    <x:r>
      <x:rPr>
        <x:sz val="900"/>
        <x:color rgb="FF24323D"/>
        <x:rFont val="Linux Libertine G"/>
        <x:family val="2"/>
      </x:rPr>
      <x:t xml:space="preserve">，不得把限制固化为单例模型</x:t>
    </x:r>
  </x:si>
  <x:si>
    <x:t xml:space="preserve">V5-P3-T001,V5-P3-T004</x:t>
  </x:si>
  <x:si>
    <x:t xml:space="preserve">Review+Automated</x:t>
  </x:si>
  <x:si>
    <x:t xml:space="preserve">model collection contract</x:t>
  </x:si>
  <x:si>
    <x:t xml:space="preserve">REQ-V5-008</x:t>
  </x:si>
  <x:si>
    <x:t xml:space="preserve">派遣、抵达和结果具备一次性语义</x:t>
  </x:si>
  <x:si>
    <x:t xml:space="preserve">V5-P3-T003,V5-P3-T005,V5-P4-T004</x:t>
  </x:si>
  <x:si>
    <x:t xml:space="preserve">T-V5_P3_T006,T-V5_P4_T004</x:t>
  </x:si>
  <x:si>
    <x:t xml:space="preserve">transaction/result IDs</x:t>
  </x:si>
  <x:si>
    <x:t xml:space="preserve">REQ-V5-009</x:t>
  </x:si>
  <x:si>
    <x:t xml:space="preserve">战斗结果只通过权威入口写回</x:t>
  </x:si>
  <x:si>
    <x:t xml:space="preserve">战役边界设计</x:t>
  </x:si>
  <x:si>
    <x:t xml:space="preserve">V5-P4-T001,V5-P4-T002</x:t>
  </x:si>
  <x:si>
    <x:t xml:space="preserve">no direct UI/world mutation</x:t>
  </x:si>
  <x:si>
    <x:t xml:space="preserve">REQ-V5-010</x:t>
  </x:si>
  <x:si>
    <x:t xml:space="preserve">保存结构版本化且旧快照可迁移</x:t>
  </x:si>
  <x:si>
    <x:t xml:space="preserve">V5-P5-T001,V5-P5-T002,V5-P5-T003</x:t>
  </x:si>
  <x:si>
    <x:t xml:space="preserve">schema/migration matrix</x:t>
  </x:si>
  <x:si>
    <x:t xml:space="preserve">REQ-V5-011</x:t>
  </x:si>
  <x:si>
    <x:r>
      <x:rPr>
        <x:sz val="900"/>
        <x:color rgb="FF24323D"/>
        <x:rFont val="Linux Libertine G"/>
        <x:family val="2"/>
      </x:rPr>
      <x:t xml:space="preserve">保存退出重载后驻军、训练、</x:t>
    </x:r>
    <x:r>
      <x:rPr>
        <x:sz val="900"/>
        <x:color rgb="FF24323D"/>
        <x:rFont val="Hiragino Sans GB"/>
      </x:rPr>
      <x:t xml:space="preserve">ArmyState </x:t>
    </x:r>
    <x:r>
      <x:rPr>
        <x:sz val="900"/>
        <x:color rgb="FF24323D"/>
        <x:rFont val="Linux Libertine G"/>
        <x:family val="2"/>
      </x:rPr>
      <x:t xml:space="preserve">集合、稳定 </x:t>
    </x:r>
    <x:r>
      <x:rPr>
        <x:sz val="900"/>
        <x:color rgb="FF24323D"/>
        <x:rFont val="Hiragino Sans GB"/>
      </x:rPr>
      <x:t xml:space="preserve">route/node ID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progress </x:t>
    </x:r>
    <x:r>
      <x:rPr>
        <x:sz val="900"/>
        <x:color rgb="FF24323D"/>
        <x:rFont val="Linux Libertine G"/>
        <x:family val="2"/>
      </x:rPr>
      <x:t xml:space="preserve">与 </x:t>
    </x:r>
    <x:r>
      <x:rPr>
        <x:sz val="900"/>
        <x:color rgb="FF24323D"/>
        <x:rFont val="Hiragino Sans GB"/>
      </x:rPr>
      <x:t xml:space="preserve">ledger </x:t>
    </x:r>
    <x:r>
      <x:rPr>
        <x:sz val="900"/>
        <x:color rgb="FF24323D"/>
        <x:rFont val="Linux Libertine G"/>
        <x:family val="2"/>
      </x:rPr>
      <x:t xml:space="preserve">一致</x:t>
    </x:r>
  </x:si>
  <x:si>
    <x:t xml:space="preserve">V5-P5-T004,V5-P7-T004</x:t>
  </x:si>
  <x:si>
    <x:t xml:space="preserve">T-V5_P5_T005,T-V5_P7_T004</x:t>
  </x:si>
  <x:si>
    <x:t xml:space="preserve">cross-process evidence</x:t>
  </x:si>
  <x:si>
    <x:t xml:space="preserve">REQ-V5-012</x:t>
  </x:si>
  <x:si>
    <x:t xml:space="preserve">关键失败不部分扣费、不丢兵、不污染旧状态</x:t>
  </x:si>
  <x:si>
    <x:t xml:space="preserve">工程门禁</x:t>
  </x:si>
  <x:si>
    <x:t xml:space="preserve">V5-P2-T003,V5-P3-T003,V5-P4-T004,V5-P5-T005</x:t>
  </x:si>
  <x:si>
    <x:t xml:space="preserve">fault injection</x:t>
  </x:si>
  <x:si>
    <x:t xml:space="preserve">REQ-V5-013</x:t>
  </x:si>
  <x:si>
    <x:r>
      <x:rPr>
        <x:sz val="900"/>
        <x:color rgb="FF24323D"/>
        <x:rFont val="Linux Libertine G"/>
        <x:family val="2"/>
      </x:rPr>
      <x:t xml:space="preserve">军事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只显示真实可用操作和原因</x:t>
    </x:r>
  </x:si>
  <x:si>
    <x:t xml:space="preserve">产品边界</x:t>
  </x:si>
  <x:si>
    <x:t xml:space="preserve">V5-P6-T001,V5-P6-T002,V5-P6-T003</x:t>
  </x:si>
  <x:si>
    <x:t xml:space="preserve">Manual</x:t>
  </x:si>
  <x:si>
    <x:t xml:space="preserve">screenshots + user explanation</x:t>
  </x:si>
  <x:si>
    <x:t xml:space="preserve">NOT_RUN</x:t>
  </x:si>
  <x:si>
    <x:t xml:space="preserve">REQ-V5-014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</x:si>
  <x:si>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关键门由独立 </x:t>
    </x:r>
    <x:r>
      <x:rPr>
        <x:sz val="900"/>
        <x:color rgb="FF24323D"/>
        <x:rFont val="Hiragino Sans GB"/>
      </x:rPr>
      <x:t xml:space="preserve">Agent </x:t>
    </x:r>
    <x:r>
      <x:rPr>
        <x:sz val="900"/>
        <x:color rgb="FF24323D"/>
        <x:rFont val="Linux Libertine G"/>
        <x:family val="2"/>
      </x:rPr>
      <x:t xml:space="preserve">复查，不由实现者自证</x:t>
    </x:r>
  </x:si>
  <x:si>
    <x:t xml:space="preserve">流程门禁</x:t>
  </x:si>
  <x:si>
    <x:t xml:space="preserve">T-REVIEW-001</x:t>
  </x:si>
  <x:si>
    <x:t xml:space="preserve">review report + re-review</x:t>
  </x:si>
  <x:si>
    <x:t xml:space="preserve">REQ-V6-001</x:t>
  </x:si>
  <x:si>
    <x:r>
      <x:rPr>
        <x:sz val="900"/>
        <x:color rgb="FF24323D"/>
        <x:rFont val="Linux Libertine G"/>
        <x:family val="2"/>
      </x:rPr>
      <x:t xml:space="preserve">持久外城不使用像素</x:t>
    </x:r>
    <x:r>
      <x:rPr>
        <x:sz val="900"/>
        <x:color rgb="FF24323D"/>
        <x:rFont val="Hiragino Sans GB"/>
      </x:rPr>
      <x:t xml:space="preserve">/Node </x:t>
    </x:r>
    <x:r>
      <x:rPr>
        <x:sz val="900"/>
        <x:color rgb="FF24323D"/>
        <x:rFont val="Linux Libertine G"/>
        <x:family val="2"/>
      </x:rPr>
      <x:t xml:space="preserve">作为权威位置</x:t>
    </x:r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</x:si>
  <x:si>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范围</x:t>
    </x:r>
  </x:si>
  <x:si>
    <x:t xml:space="preserve">V6-P0-T001,V6-P0-T002,V6-P2-T002</x:t>
  </x:si>
  <x:si>
    <x:t xml:space="preserve">state→projection reconstruction</x:t>
  </x:si>
  <x:si>
    <x:t xml:space="preserve">REQ-V6-002</x:t>
  </x:si>
  <x:si>
    <x:r>
      <x:rPr>
        <x:sz val="900"/>
        <x:color rgb="FF24323D"/>
        <x:rFont val="Linux Libertine G"/>
        <x:family val="2"/>
      </x:rPr>
      <x:t xml:space="preserve">在 </x:t>
    </x:r>
    <x:r>
      <x:rPr>
        <x:sz val="900"/>
        <x:color rgb="FF24323D"/>
        <x:rFont val="Hiragino Sans GB"/>
      </x:rPr>
      <x:t xml:space="preserve">V5 ArmyState </x:t>
    </x:r>
    <x:r>
      <x:rPr>
        <x:sz val="900"/>
        <x:color rgb="FF24323D"/>
        <x:rFont val="Linux Libertine G"/>
        <x:family val="2"/>
      </x:rPr>
      <x:t xml:space="preserve">集合容器上启用多个 </x:t>
    </x:r>
    <x:r>
      <x:rPr>
        <x:sz val="900"/>
        <x:color rgb="FF24323D"/>
        <x:rFont val="Hiragino Sans GB"/>
      </x:rPr>
      <x:t xml:space="preserve">active army</x:t>
    </x:r>
    <x:r>
      <x:rPr>
        <x:sz val="900"/>
        <x:color rgb="FF24323D"/>
        <x:rFont val="Linux Libertine G"/>
        <x:family val="2"/>
      </x:rPr>
      <x:t xml:space="preserve">，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可暂时单命令</x:t>
    </x:r>
  </x:si>
  <x:si>
    <x:t xml:space="preserve">V6-P1-T001,V6-P4-T001</x:t>
  </x:si>
  <x:si>
    <x:t xml:space="preserve">two-army fixture</x:t>
  </x:si>
  <x:si>
    <x:t xml:space="preserve">REQ-V6-003</x:t>
  </x:si>
  <x:si>
    <x:t xml:space="preserve">行军进度可保存并在场景重进恢复</x:t>
  </x:si>
  <x:si>
    <x:t xml:space="preserve">V6-P2-T001,V6-P2-T002</x:t>
  </x:si>
  <x:si>
    <x:t xml:space="preserve">T-V6_P5_T001,T-V6_P5_T002</x:t>
  </x:si>
  <x:si>
    <x:t xml:space="preserve">cross-scene + save evidence</x:t>
  </x:si>
  <x:si>
    <x:t xml:space="preserve">REQ-V6-004</x:t>
  </x:si>
  <x:si>
    <x:r>
      <x:rPr>
        <x:sz val="900"/>
        <x:color rgb="FF24323D"/>
        <x:rFont val="Linux Libertine G"/>
        <x:family val="2"/>
      </x:rPr>
      <x:t xml:space="preserve">相遇和围城只生成触发事实，不提前实现 </x:t>
    </x:r>
    <x:r>
      <x:rPr>
        <x:sz val="900"/>
        <x:color rgb="FF24323D"/>
        <x:rFont val="Hiragino Sans GB"/>
      </x:rPr>
      <x:t xml:space="preserve">V7/V8</x:t>
    </x:r>
  </x:si>
  <x:si>
    <x:t xml:space="preserve">滚动规划</x:t>
  </x:si>
  <x:si>
    <x:t xml:space="preserve">V6-P3-T001,V6-P3-T002</x:t>
  </x:si>
  <x:si>
    <x:t xml:space="preserve">trigger contract and no scope creep</x:t>
  </x:si>
  <x:si>
    <x:t xml:space="preserve">REQ-ARCH-001</x:t>
  </x:si>
  <x:si>
    <x:t xml:space="preserve">战事内城不能复制常态内城真相</x:t>
  </x:si>
  <x:si>
    <x:t xml:space="preserve">四层架构</x:t>
  </x:si>
  <x:si>
    <x:t xml:space="preserve">V8-P0-T001,V8-P2-T003</x:t>
  </x:si>
  <x:si>
    <x:r>
      <x:rPr>
        <x:sz val="900"/>
        <x:color rgb="FF24323D"/>
        <x:rFont val="Linux Libertine G"/>
        <x:family val="2"/>
      </x:rPr>
      <x:t xml:space="preserve">独立审查单一城市真相、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临时性与失败后布局保全；不得以文档存在代替执行</x:t>
    </x:r>
  </x:si>
  <x:si>
    <x:t xml:space="preserve">REQ-ARCH-002</x:t>
  </x:si>
  <x:si>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交互状态不是世界状态</x:t>
    </x:r>
  </x:si>
  <x:si>
    <x:t xml:space="preserve">V5-P0-T002,V6-P4-T001</x:t>
  </x:si>
  <x:si>
    <x:t xml:space="preserve">ownership sheet</x:t>
  </x:si>
  <x:si>
    <x:t xml:space="preserve">REQ-PLAN-001</x:t>
  </x:si>
  <x:si>
    <x:r>
      <x:rPr>
        <x:sz val="900"/>
        <x:color rgb="FF24323D"/>
        <x:rFont val="Linux Libertine G"/>
        <x:family val="2"/>
      </x:rPr>
      <x:t xml:space="preserve">只有 </x:t>
    </x:r>
    <x:r>
      <x:rPr>
        <x:sz val="900"/>
        <x:color rgb="FF24323D"/>
        <x:rFont val="Hiragino Sans GB"/>
      </x:rPr>
      <x:t xml:space="preserve">VERIFIED </x:t>
    </x:r>
    <x:r>
      <x:rPr>
        <x:sz val="900"/>
        <x:color rgb="FF24323D"/>
        <x:rFont val="Linux Libertine G"/>
        <x:family val="2"/>
      </x:rPr>
      <x:t xml:space="preserve">计入阶段完成，</x:t>
    </x:r>
    <x:r>
      <x:rPr>
        <x:sz val="900"/>
        <x:color rgb="FF24323D"/>
        <x:rFont val="Hiragino Sans GB"/>
      </x:rPr>
      <x:t xml:space="preserve">CANCELLED </x:t>
    </x:r>
    <x:r>
      <x:rPr>
        <x:sz val="900"/>
        <x:color rgb="FF24323D"/>
        <x:rFont val="Linux Libertine G"/>
        <x:family val="2"/>
      </x:rPr>
      <x:t xml:space="preserve">仅凭已接受 </x:t>
    </x:r>
    <x:r>
      <x:rPr>
        <x:sz val="900"/>
        <x:color rgb="FF24323D"/>
        <x:rFont val="Hiragino Sans GB"/>
      </x:rPr>
      <x:t xml:space="preserve">Decision </x:t>
    </x:r>
    <x:r>
      <x:rPr>
        <x:sz val="900"/>
        <x:color rgb="FF24323D"/>
        <x:rFont val="Linux Libertine G"/>
        <x:family val="2"/>
      </x:rPr>
      <x:t xml:space="preserve">才不计入分母</x:t>
    </x:r>
  </x:si>
  <x:si>
    <x:t xml:space="preserve">规划系统</x:t>
  </x:si>
  <x:si>
    <x:t xml:space="preserve">T-PLAN-001</x:t>
  </x:si>
  <x:si>
    <x:t xml:space="preserve">formula inspection</x:t>
  </x:si>
  <x:si>
    <x:t xml:space="preserve">PASS_INDEPENDENT_REVIEW</x:t>
  </x:si>
  <x:si>
    <x:t xml:space="preserve">REQ-PLAN-002</x:t>
  </x:si>
  <x:si>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只引用真实 </x:t>
    </x:r>
    <x:r>
      <x:rPr>
        <x:sz val="900"/>
        <x:color rgb="FF24323D"/>
        <x:rFont val="Hiragino Sans GB"/>
      </x:rPr>
      <x:t xml:space="preserve">Task/Test ID</x:t>
    </x:r>
    <x:r>
      <x:rPr>
        <x:sz val="900"/>
        <x:color rgb="FF24323D"/>
        <x:rFont val="Linux Libertine G"/>
        <x:family val="2"/>
      </x:rPr>
      <x:t xml:space="preserve">，且冻结顺序无循环</x:t>
    </x:r>
  </x:si>
  <x:si>
    <x:t xml:space="preserve">T-PLAN-GATE-001</x:t>
  </x:si>
  <x:si>
    <x:t xml:space="preserve">gate reference audit</x:t>
  </x:si>
  <x:si>
    <x:t xml:space="preserve">REQ-PLAN-003</x:t>
  </x:si>
  <x:si>
    <x:t xml:space="preserve">全部工作表使用区域明确采用实际可用中文字体</x:t>
  </x:si>
  <x:si>
    <x:t xml:space="preserve">T-PLAN-FONT-001</x:t>
  </x:si>
  <x:si>
    <x:t xml:space="preserve">Automated+Visual</x:t>
  </x:si>
  <x:si>
    <x:t xml:space="preserve">computed styles + Mac render</x:t>
  </x:si>
  <x:si>
    <x:t xml:space="preserve">测试矩阵</x:t>
  </x:si>
  <x:si>
    <x:r>
      <x:rPr>
        <x:i/>
        <x:sz val="1000"/>
        <x:color rgb="FF34495E"/>
        <x:rFont val="Linux Libertine G"/>
        <x:family val="2"/>
      </x:rPr>
      <x:t xml:space="preserve">未来测试命令在实现时依据真实接口登记；当前不伪造文件名。</x:t>
    </x:r>
    <x:r>
      <x:rPr>
        <x:i/>
        <x:sz val="1000"/>
        <x:color rgb="FF34495E"/>
        <x:rFont val="Hiragino Sans GB"/>
      </x:rPr>
      <x:t xml:space="preserve">Last Result </x:t>
    </x:r>
    <x:r>
      <x:rPr>
        <x:i/>
        <x:sz val="1000"/>
        <x:color rgb="FF34495E"/>
        <x:rFont val="Linux Libertine G"/>
        <x:family val="2"/>
      </x:rPr>
      <x:t xml:space="preserve">必须来自实际输出。</x:t>
    </x:r>
  </x:si>
  <x:si>
    <x:t xml:space="preserve">Test ID</x:t>
  </x:si>
  <x:si>
    <x:t xml:space="preserve">Requirement IDs</x:t>
  </x:si>
  <x:si>
    <x:t xml:space="preserve">Test Level</x:t>
  </x:si>
  <x:si>
    <x:t xml:space="preserve">Test Type</x:t>
  </x:si>
  <x:si>
    <x:t xml:space="preserve">Preconditions</x:t>
  </x:si>
  <x:si>
    <x:t xml:space="preserve">Input Path</x:t>
  </x:si>
  <x:si>
    <x:t xml:space="preserve">Expected Result</x:t>
  </x:si>
  <x:si>
    <x:t xml:space="preserve">Actual Command</x:t>
  </x:si>
  <x:si>
    <x:t xml:space="preserve">Environment</x:t>
  </x:si>
  <x:si>
    <x:t xml:space="preserve">Last Result</x:t>
  </x:si>
  <x:si>
    <x:t xml:space="preserve">Evidence</x:t>
  </x:si>
  <x:si>
    <x:t xml:space="preserve">Regression Risk</x:t>
  </x:si>
  <x:si>
    <x:t xml:space="preserve">Last Run Time</x:t>
  </x:si>
  <x:si>
    <x:t xml:space="preserve">Workbook</x:t>
  </x:si>
  <x:si>
    <x:t xml:space="preserve">Formula contract</x:t>
  </x:si>
  <x:si>
    <x:r>
      <x:rPr>
        <x:sz val="900"/>
        <x:color rgb="FF24323D"/>
        <x:rFont val="Linux Libertine G"/>
        <x:family val="2"/>
      </x:rPr>
      <x:t xml:space="preserve">工作簿已生成并由 </x:t>
    </x:r>
    <x:r>
      <x:rPr>
        <x:sz val="900"/>
        <x:color rgb="FF24323D"/>
        <x:rFont val="Hiragino Sans GB"/>
      </x:rPr>
      <x:t xml:space="preserve">LibreOffice </x:t>
    </x:r>
    <x:r>
      <x:rPr>
        <x:sz val="900"/>
        <x:color rgb="FF24323D"/>
        <x:rFont val="Linux Libertine G"/>
        <x:family val="2"/>
      </x:rPr>
      <x:t xml:space="preserve">重算</x:t>
    </x:r>
  </x:si>
  <x:si>
    <x:r>
      <x:rPr>
        <x:sz val="900"/>
        <x:color rgb="FF24323D"/>
        <x:rFont val="Linux Libertine G"/>
        <x:family val="2"/>
      </x:rPr>
      <x:t xml:space="preserve">检查 </x:t>
    </x:r>
    <x:r>
      <x:rPr>
        <x:sz val="900"/>
        <x:color rgb="FF24323D"/>
        <x:rFont val="Hiragino Sans GB"/>
      </x:rPr>
      <x:t xml:space="preserve">VERIFIED</x:t>
    </x:r>
    <x:r>
      <x:rPr>
        <x:sz val="900"/>
        <x:color rgb="FF24323D"/>
        <x:rFont val="Linux Libertine G"/>
        <x:family val="2"/>
      </x:rPr>
      <x:t xml:space="preserve">、普通任务、空 </x:t>
    </x:r>
    <x:r>
      <x:rPr>
        <x:sz val="900"/>
        <x:color rgb="FF24323D"/>
        <x:rFont val="Hiragino Sans GB"/>
      </x:rPr>
      <x:t xml:space="preserve">ID</x:t>
    </x:r>
    <x:r>
      <x:rPr>
        <x:sz val="900"/>
        <x:color rgb="FF24323D"/>
        <x:rFont val="Linux Libertine G"/>
        <x:family val="2"/>
      </x:rPr>
      <x:t xml:space="preserve">、伪造 </x:t>
    </x:r>
    <x:r>
      <x:rPr>
        <x:sz val="900"/>
        <x:color rgb="FF24323D"/>
        <x:rFont val="Hiragino Sans GB"/>
      </x:rPr>
      <x:t xml:space="preserve">DEC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Risk ID</x:t>
    </x:r>
    <x:r>
      <x:rPr>
        <x:sz val="900"/>
        <x:color rgb="FF24323D"/>
        <x:rFont val="Linux Libertine G"/>
        <x:family val="2"/>
      </x:rPr>
      <x:t xml:space="preserve">、未接受 </x:t>
    </x:r>
    <x:r>
      <x:rPr>
        <x:sz val="900"/>
        <x:color rgb="FF24323D"/>
        <x:rFont val="Hiragino Sans GB"/>
      </x:rPr>
      <x:t xml:space="preserve">Decision</x:t>
    </x:r>
    <x:r>
      <x:rPr>
        <x:sz val="900"/>
        <x:color rgb="FF24323D"/>
        <x:rFont val="Linux Libertine G"/>
        <x:family val="2"/>
      </x:rPr>
      <x:t xml:space="preserve">、已接受 </x:t>
    </x:r>
    <x:r>
      <x:rPr>
        <x:sz val="900"/>
        <x:color rgb="FF24323D"/>
        <x:rFont val="Hiragino Sans GB"/>
      </x:rPr>
      <x:t xml:space="preserve">Decision</x:t>
    </x:r>
  </x:si>
  <x:si>
    <x:r>
      <x:rPr>
        <x:sz val="900"/>
        <x:color rgb="FF24323D"/>
        <x:rFont val="Linux Libertine G"/>
        <x:family val="2"/>
      </x:rPr>
      <x:t xml:space="preserve">只有 </x:t>
    </x:r>
    <x:r>
      <x:rPr>
        <x:sz val="900"/>
        <x:color rgb="FF24323D"/>
        <x:rFont val="Hiragino Sans GB"/>
      </x:rPr>
      <x:t xml:space="preserve">VERIFIED </x:t>
    </x:r>
    <x:r>
      <x:rPr>
        <x:sz val="900"/>
        <x:color rgb="FF24323D"/>
        <x:rFont val="Linux Libertine G"/>
        <x:family val="2"/>
      </x:rPr>
      <x:t xml:space="preserve">计完成；仅绑定风险／决策表中 </x:t>
    </x:r>
    <x:r>
      <x:rPr>
        <x:sz val="900"/>
        <x:color rgb="FF24323D"/>
        <x:rFont val="Hiragino Sans GB"/>
      </x:rPr>
      <x:t xml:space="preserve">Type=Decision </x:t>
    </x:r>
    <x:r>
      <x:rPr>
        <x:sz val="900"/>
        <x:color rgb="FF24323D"/>
        <x:rFont val="Linux Libertine G"/>
        <x:family val="2"/>
      </x:rPr>
      <x:t xml:space="preserve">且 </x:t>
    </x:r>
    <x:r>
      <x:rPr>
        <x:sz val="900"/>
        <x:color rgb="FF24323D"/>
        <x:rFont val="Hiragino Sans GB"/>
      </x:rPr>
      <x:t xml:space="preserve">Status=ACCEPTED </x:t>
    </x:r>
    <x:r>
      <x:rPr>
        <x:sz val="900"/>
        <x:color rgb="FF24323D"/>
        <x:rFont val="Linux Libertine G"/>
        <x:family val="2"/>
      </x:rPr>
      <x:t xml:space="preserve">的真实记录时，</x:t>
    </x:r>
    <x:r>
      <x:rPr>
        <x:sz val="900"/>
        <x:color rgb="FF24323D"/>
        <x:rFont val="Hiragino Sans GB"/>
      </x:rPr>
      <x:t xml:space="preserve">CANCELLED </x:t>
    </x:r>
    <x:r>
      <x:rPr>
        <x:sz val="900"/>
        <x:color rgb="FF24323D"/>
        <x:rFont val="Linux Libertine G"/>
        <x:family val="2"/>
      </x:rPr>
      <x:t xml:space="preserve">才从分母剔除</x:t>
    </x:r>
  </x:si>
  <x:si>
    <x:t xml:space="preserve">python3 /tmp/txwzs-plan-repair-002.CcKbTz/test-formula-contract.py</x:t>
  </x:si>
  <x:si>
    <x:t xml:space="preserve">Python standard library + LibreOffice cache</x:t>
  </x:si>
  <x:si>
    <x:t xml:space="preserve">/tmp/txwzs-plan-repair-002.CcKbTz/formula-contract-test.json</x:t>
  </x:si>
  <x:si>
    <x:t xml:space="preserve">计划状态失真</x:t>
  </x:si>
  <x:si>
    <x:t xml:space="preserve">Gate reference contract</x:t>
  </x:si>
  <x:si>
    <x:t xml:space="preserve">最终工作簿已生成</x:t>
  </x:si>
  <x:si>
    <x:r>
      <x:rPr>
        <x:sz val="900"/>
        <x:color rgb="FF24323D"/>
        <x:rFont val="Linux Libertine G"/>
        <x:family val="2"/>
      </x:rPr>
      <x:t xml:space="preserve">解析 </x:t>
    </x:r>
    <x:r>
      <x:rPr>
        <x:sz val="900"/>
        <x:color rgb="FF24323D"/>
        <x:rFont val="Hiragino Sans GB"/>
      </x:rPr>
      <x:t xml:space="preserve">63 </x:t>
    </x:r>
    <x:r>
      <x:rPr>
        <x:sz val="900"/>
        <x:color rgb="FF24323D"/>
        <x:rFont val="Linux Libertine G"/>
        <x:family val="2"/>
      </x:rPr>
      <x:t xml:space="preserve">个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的 </x:t>
    </x:r>
    <x:r>
      <x:rPr>
        <x:sz val="900"/>
        <x:color rgb="FF24323D"/>
        <x:rFont val="Hiragino Sans GB"/>
      </x:rPr>
      <x:t xml:space="preserve">Required Tasks/Tests </x:t>
    </x:r>
    <x:r>
      <x:rPr>
        <x:sz val="900"/>
        <x:color rgb="FF24323D"/>
        <x:rFont val="Linux Libertine G"/>
        <x:family val="2"/>
      </x:rPr>
      <x:t xml:space="preserve">并与中央任务、测试表双向比对</x:t>
    </x:r>
  </x:si>
  <x:si>
    <x:r>
      <x:rPr>
        <x:sz val="900"/>
        <x:color rgb="FF24323D"/>
        <x:rFont val="Linux Libertine G"/>
        <x:family val="2"/>
      </x:rPr>
      <x:t xml:space="preserve">无范围简写、说明文字、悬空 </x:t>
    </x:r>
    <x:r>
      <x:rPr>
        <x:sz val="900"/>
        <x:color rgb="FF24323D"/>
        <x:rFont val="Hiragino Sans GB"/>
      </x:rPr>
      <x:t xml:space="preserve">ID </x:t>
    </x:r>
    <x:r>
      <x:rPr>
        <x:sz val="900"/>
        <x:color rgb="FF24323D"/>
        <x:rFont val="Linux Libertine G"/>
        <x:family val="2"/>
      </x:rPr>
      <x:t xml:space="preserve">或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冻结循环</x:t>
    </x:r>
  </x:si>
  <x:si>
    <x:t xml:space="preserve">PLAN-REPAIR-002 gate audit</x:t>
  </x:si>
  <x:si>
    <x:t xml:space="preserve">Python standard library</x:t>
  </x:si>
  <x:si>
    <x:t xml:space="preserve">REVIEW_003 evidence</x:t>
  </x:si>
  <x:si>
    <x:t xml:space="preserve">阶段门失真</x:t>
  </x:si>
  <x:si>
    <x:t xml:space="preserve">Chinese font contract</x:t>
  </x:si>
  <x:si>
    <x:r>
      <x:rPr>
        <x:sz val="900"/>
        <x:color rgb="FF24323D"/>
        <x:rFont val="Hiragino Sans GB"/>
      </x:rPr>
      <x:t xml:space="preserve">Mac </x:t>
    </x:r>
    <x:r>
      <x:rPr>
        <x:sz val="900"/>
        <x:color rgb="FF24323D"/>
        <x:rFont val="Linux Libertine G"/>
        <x:family val="2"/>
      </x:rPr>
      <x:t xml:space="preserve">已安装 </x:t>
    </x:r>
    <x:r>
      <x:rPr>
        <x:sz val="900"/>
        <x:color rgb="FF24323D"/>
        <x:rFont val="Hiragino Sans GB"/>
      </x:rPr>
      <x:t xml:space="preserve">Hiragino Sans GB</x:t>
    </x:r>
  </x:si>
  <x:si>
    <x:r>
      <x:rPr>
        <x:sz val="900"/>
        <x:color rgb="FF24323D"/>
        <x:rFont val="Linux Libertine G"/>
        <x:family val="2"/>
      </x:rPr>
      <x:t xml:space="preserve">检查全部有值单元格 </x:t>
    </x:r>
    <x:r>
      <x:rPr>
        <x:sz val="900"/>
        <x:color rgb="FF24323D"/>
        <x:rFont val="Hiragino Sans GB"/>
      </x:rPr>
      <x:t xml:space="preserve">computed font </x:t>
    </x:r>
    <x:r>
      <x:rPr>
        <x:sz val="900"/>
        <x:color rgb="FF24323D"/>
        <x:rFont val="Linux Libertine G"/>
        <x:family val="2"/>
      </x:rPr>
      <x:t xml:space="preserve">并渲染 </x:t>
    </x:r>
    <x:r>
      <x:rPr>
        <x:sz val="900"/>
        <x:color rgb="FF24323D"/>
        <x:rFont val="Hiragino Sans GB"/>
      </x:rPr>
      <x:t xml:space="preserve">13 </x:t>
    </x:r>
    <x:r>
      <x:rPr>
        <x:sz val="900"/>
        <x:color rgb="FF24323D"/>
        <x:rFont val="Linux Libertine G"/>
        <x:family val="2"/>
      </x:rPr>
      <x:t xml:space="preserve">张工作表</x:t>
    </x:r>
  </x:si>
  <x:si>
    <x:r>
      <x:rPr>
        <x:sz val="900"/>
        <x:color rgb="FF24323D"/>
        <x:rFont val="Linux Libertine G"/>
        <x:family val="2"/>
      </x:rPr>
      <x:t xml:space="preserve">全部使用区域采用 </x:t>
    </x:r>
    <x:r>
      <x:rPr>
        <x:sz val="900"/>
        <x:color rgb="FF24323D"/>
        <x:rFont val="Hiragino Sans GB"/>
      </x:rPr>
      <x:t xml:space="preserve">Hiragino Sans GB</x:t>
    </x:r>
    <x:r>
      <x:rPr>
        <x:sz val="900"/>
        <x:color rgb="FF24323D"/>
        <x:rFont val="Linux Libertine G"/>
        <x:family val="2"/>
      </x:rPr>
      <x:t xml:space="preserve">；中文可见</x:t>
    </x:r>
  </x:si>
  <x:si>
    <x:t xml:space="preserve">PLAN-REPAIR-002 style audit + artifact render</x:t>
  </x:si>
  <x:si>
    <x:t xml:space="preserve">artifact-tool + OOXML</x:t>
  </x:si>
  <x:si>
    <x:t xml:space="preserve">REVIEW_003 visual evidence</x:t>
  </x:si>
  <x:si>
    <x:t xml:space="preserve">中文内容不可读</x:t>
  </x:si>
  <x:si>
    <x:t xml:space="preserve">T-V4-001</x:t>
  </x:si>
  <x:si>
    <x:t xml:space="preserve">State Contract</x:t>
  </x:si>
  <x:si>
    <x:t xml:space="preserve">Smoke</x:t>
  </x:si>
  <x:si>
    <x:r>
      <x:rPr>
        <x:sz val="900"/>
        <x:color rgb="FF24323D"/>
        <x:rFont val="Linux Libertine G"/>
        <x:family val="2"/>
      </x:rPr>
      <x:t xml:space="preserve">当前 </x:t>
    </x:r>
    <x:r>
      <x:rPr>
        <x:sz val="900"/>
        <x:color rgb="FF24323D"/>
        <x:rFont val="Hiragino Sans GB"/>
      </x:rPr>
      <x:t xml:space="preserve">dirty V4</x:t>
    </x:r>
  </x:si>
  <x:si>
    <x:r>
      <x:rPr>
        <x:sz val="900"/>
        <x:color rgb="FF24323D"/>
        <x:rFont val="Linux Libertine G"/>
        <x:family val="2"/>
      </x:rPr>
      <x:t xml:space="preserve">真实 </x:t>
    </x:r>
    <x:r>
      <x:rPr>
        <x:sz val="900"/>
        <x:color rgb="FF24323D"/>
        <x:rFont val="Hiragino Sans GB"/>
      </x:rPr>
      <x:t xml:space="preserve">InputEvent </x:t>
    </x:r>
    <x:r>
      <x:rPr>
        <x:sz val="900"/>
        <x:color rgb="FF24323D"/>
        <x:rFont val="Linux Libertine G"/>
        <x:family val="2"/>
      </x:rPr>
      <x:t xml:space="preserve">链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连续帧推进</x:t>
    </x:r>
  </x:si>
  <x:si>
    <x:t xml:space="preserve">150 explicit assertions + 1 summary PASS</x:t>
  </x:si>
  <x:si>
    <x:t xml:space="preserve">/Applications/Godot.app/Contents/MacOS/Godot --headless --path &lt;repo&gt; -s res://tests/run_blackstone_playable_mvp_smoke.gd</x:t>
  </x:si>
  <x:si>
    <x:t xml:space="preserve">Godot 4.5.1</x:t>
  </x:si>
  <x:si>
    <x:r>
      <x:rPr>
        <x:sz val="900"/>
        <x:color rgb="FF24323D"/>
        <x:rFont val="Hiragino Sans GB"/>
      </x:rPr>
      <x:t xml:space="preserve">/tmp/txwzs-v4-milestone-closure.fD2A6P/blackstone.log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TXWZS_V4_MILESTONE_CLOSURE_001.md</x:t>
    </x:r>
  </x:si>
  <x:si>
    <x:t xml:space="preserve">高</x:t>
  </x:si>
  <x:si>
    <x:t xml:space="preserve">V4-G0,V4-G1,V4-G2,V4-G3,V4-G4,V4-G5</x:t>
  </x:si>
  <x:si>
    <x:t xml:space="preserve">T-V4-002</x:t>
  </x:si>
  <x:si>
    <x:t xml:space="preserve">Full tracked runners</x:t>
  </x:si>
  <x:si>
    <x:r>
      <x:rPr>
        <x:sz val="900"/>
        <x:color rgb="FF24323D"/>
        <x:rFont val="Linux Libertine G"/>
        <x:family val="2"/>
      </x:rPr>
      <x:t xml:space="preserve">排除 </x:t>
    </x:r>
    <x:r>
      <x:rPr>
        <x:sz val="900"/>
        <x:color rgb="FF24323D"/>
        <x:rFont val="Hiragino Sans GB"/>
      </x:rPr>
      <x:t xml:space="preserve">untracked S1A.2 runner</x:t>
    </x:r>
  </x:si>
  <x:si>
    <x:r>
      <x:rPr>
        <x:sz val="900"/>
        <x:color rgb="FF24323D"/>
        <x:rFont val="Linux Libertine G"/>
        <x:family val="2"/>
      </x:rPr>
      <x:t xml:space="preserve">运行 </x:t>
    </x:r>
    <x:r>
      <x:rPr>
        <x:sz val="900"/>
        <x:color rgb="FF24323D"/>
        <x:rFont val="Hiragino Sans GB"/>
      </x:rPr>
      <x:t xml:space="preserve">Git tracked run_*_smoke.gd</x:t>
    </x:r>
  </x:si>
  <x:si>
    <x:t xml:space="preserve">27/27, 1515 PASS lines, 0 error signatures</x:t>
  </x:si>
  <x:si>
    <x:t xml:space="preserve">for runner in $(git ls-files 'tests/run_*_smoke.gd')</x:t>
  </x:si>
  <x:si>
    <x:r>
      <x:rPr>
        <x:sz val="900"/>
        <x:color rgb="FF24323D"/>
        <x:rFont val="Hiragino Sans GB"/>
      </x:rPr>
      <x:t xml:space="preserve">/tmp/txwzs-v4-milestone-closure.fD2A6P/tracked.tsv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tracked-*.log</x:t>
    </x:r>
  </x:si>
  <x:si>
    <x:t xml:space="preserve">Physical mouse</x:t>
  </x:si>
  <x:si>
    <x:t xml:space="preserve">标准唯一窗口</x:t>
  </x:si>
  <x:si>
    <x:t xml:space="preserve">取消→失败→援军胜利→回城重试</x:t>
  </x:si>
  <x:si>
    <x:t xml:space="preserve">用户实体确认且版本身份明确</x:t>
  </x:si>
  <x:si>
    <x:t xml:space="preserve">./RUN_CURRENT_TXWZS.command + current-scene 1152x648 eight-state gate</x:t>
  </x:si>
  <x:si>
    <x:t xml:space="preserve">macOS GUI</x:t>
  </x:si>
  <x:si>
    <x:t xml:space="preserve">PASS_USER_MILESTONE_ACCEPTANCE</x:t>
  </x:si>
  <x:si>
    <x:r>
      <x:rPr>
        <x:sz val="900"/>
        <x:color rgb="FF24323D"/>
        <x:rFont val="Linux Libertine G"/>
        <x:family val="2"/>
      </x:rPr>
      <x:t xml:space="preserve">用户 </x:t>
    </x:r>
    <x:r>
      <x:rPr>
        <x:sz val="900"/>
        <x:color rgb="FF24323D"/>
        <x:rFont val="Hiragino Sans GB"/>
      </x:rPr>
      <x:t xml:space="preserve">2026-07-30 </x:t>
    </x:r>
    <x:r>
      <x:rPr>
        <x:sz val="900"/>
        <x:color rgb="FF24323D"/>
        <x:rFont val="Linux Libertine G"/>
        <x:family val="2"/>
      </x:rPr>
      <x:t xml:space="preserve">明确接受 </x:t>
    </x:r>
    <x:r>
      <x:rPr>
        <x:sz val="900"/>
        <x:color rgb="FF24323D"/>
        <x:rFont val="Hiragino Sans GB"/>
      </x:rPr>
      <x:t xml:space="preserve">Review 002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/tmp/txwzs-v4-milestone-closure.fD2A6P/01-default.png…08-reenter.png</x:t>
    </x:r>
  </x:si>
  <x:si>
    <x:t xml:space="preserve">V4-G0,V4-G6</x:t>
  </x:si>
  <x:si>
    <x:t xml:space="preserve">Static</x:t>
  </x:si>
  <x:si>
    <x:t xml:space="preserve">Hash/diff</x:t>
  </x:si>
  <x:si>
    <x:t xml:space="preserve">已记录开始哈希</x:t>
  </x:si>
  <x:si>
    <x:t xml:space="preserve">前后比较保护文件</x:t>
  </x:si>
  <x:si>
    <x:r>
      <x:rPr>
        <x:sz val="900"/>
        <x:color rgb="FF24323D"/>
        <x:rFont val="Hiragino Sans GB"/>
      </x:rPr>
      <x:t xml:space="preserve">8 </x:t>
    </x:r>
    <x:r>
      <x:rPr>
        <x:sz val="900"/>
        <x:color rgb="FF24323D"/>
        <x:rFont val="Linux Libertine G"/>
        <x:family val="2"/>
      </x:rPr>
      <x:t xml:space="preserve">个哈希完全一致</x:t>
    </x:r>
  </x:si>
  <x:si>
    <x:t xml:space="preserve">shasum -a 256 &lt;8 paths&gt;; git diff --check</x:t>
  </x:si>
  <x:si>
    <x:t xml:space="preserve">macOS</x:t>
  </x:si>
  <x:si>
    <x:r>
      <x:rPr>
        <x:sz val="900"/>
        <x:color rgb="FF24323D"/>
        <x:rFont val="Hiragino Sans GB"/>
      </x:rPr>
      <x:t xml:space="preserve">TXWZS_V4_MILESTONE_CLOSURE_001.md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git diff --check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final protected status</x:t>
    </x:r>
  </x:si>
  <x:si>
    <x:t xml:space="preserve">T-REG-001</x:t>
  </x:si>
  <x:si>
    <x:t xml:space="preserve">ALL</x:t>
  </x:si>
  <x:si>
    <x:t xml:space="preserve">Tracked full suite</x:t>
  </x:si>
  <x:si>
    <x:r>
      <x:rPr>
        <x:sz val="900"/>
        <x:color rgb="FF24323D"/>
        <x:rFont val="Linux Libertine G"/>
        <x:family val="2"/>
      </x:rPr>
      <x:t xml:space="preserve">排除 </x:t>
    </x:r>
    <x:r>
      <x:rPr>
        <x:sz val="900"/>
        <x:color rgb="FF24323D"/>
        <x:rFont val="Hiragino Sans GB"/>
      </x:rPr>
      <x:t xml:space="preserve">protected untracked S1A.2 runner</x:t>
    </x:r>
  </x:si>
  <x:si>
    <x:r>
      <x:rPr>
        <x:sz val="900"/>
        <x:color rgb="FF24323D"/>
        <x:rFont val="Linux Libertine G"/>
        <x:family val="2"/>
      </x:rPr>
      <x:t xml:space="preserve">运行全部 </x:t>
    </x:r>
    <x:r>
      <x:rPr>
        <x:sz val="900"/>
        <x:color rgb="FF24323D"/>
        <x:rFont val="Hiragino Sans GB"/>
      </x:rPr>
      <x:t xml:space="preserve">Git tracked smoke</x:t>
    </x:r>
  </x:si>
  <x:si>
    <x:r>
      <x:rPr>
        <x:sz val="900"/>
        <x:color rgb="FF24323D"/>
        <x:rFont val="Hiragino Sans GB"/>
      </x:rPr>
      <x:t xml:space="preserve">27/27 runner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1515 PASS lines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0 error signatures</x:t>
    </x:r>
  </x:si>
  <x:si>
    <x:t xml:space="preserve">REQ-ARCH-002,REQ-V5-014</x:t>
  </x:si>
  <x:si>
    <x:t xml:space="preserve">Independent agent</x:t>
  </x:si>
  <x:si>
    <x:t xml:space="preserve">实现证据完整</x:t>
  </x:si>
  <x:si>
    <x:r>
      <x:rPr>
        <x:sz val="900"/>
        <x:color rgb="FF24323D"/>
        <x:rFont val="Linux Libertine G"/>
        <x:family val="2"/>
      </x:rPr>
      <x:t xml:space="preserve">独立复跑关键测试和 </x:t>
    </x:r>
    <x:r>
      <x:rPr>
        <x:sz val="900"/>
        <x:color rgb="FF24323D"/>
        <x:rFont val="Hiragino Sans GB"/>
      </x:rPr>
      <x:t xml:space="preserve">diff/contract </x:t>
    </x:r>
    <x:r>
      <x:rPr>
        <x:sz val="900"/>
        <x:color rgb="FF24323D"/>
        <x:rFont val="Linux Libertine G"/>
        <x:family val="2"/>
      </x:rPr>
      <x:t xml:space="preserve">审查</x:t>
    </x:r>
  </x:si>
  <x:si>
    <x:r>
      <x:rPr>
        <x:sz val="900"/>
        <x:color rgb="FF24323D"/>
        <x:rFont val="Linux Libertine G"/>
        <x:family val="2"/>
      </x:rPr>
      <x:t xml:space="preserve">无 </x:t>
    </x:r>
    <x:r>
      <x:rPr>
        <x:sz val="900"/>
        <x:color rgb="FF24323D"/>
        <x:rFont val="Hiragino Sans GB"/>
      </x:rPr>
      <x:t xml:space="preserve">blocking finding</x:t>
    </x:r>
  </x:si>
  <x:si>
    <x:t xml:space="preserve">review task packet</x:t>
  </x:si>
  <x:si>
    <x:t xml:space="preserve">Architecture Review</x:t>
  </x:si>
  <x:si>
    <x:t xml:space="preserve">Ownership contract</x:t>
  </x:si>
  <x:si>
    <x:r>
      <x:rPr>
        <x:sz val="900"/>
        <x:color rgb="FF24323D"/>
        <x:rFont val="Hiragino Sans GB"/>
      </x:rPr>
      <x:t xml:space="preserve">V7 VERIFIED </x:t>
    </x:r>
    <x:r>
      <x:rPr>
        <x:sz val="900"/>
        <x:color rgb="FF24323D"/>
        <x:rFont val="Linux Libertine G"/>
        <x:family val="2"/>
      </x:rPr>
      <x:t xml:space="preserve">且 </x:t>
    </x:r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状态合同候选已形成</x:t>
    </x:r>
  </x:si>
  <x:si>
    <x:r>
      <x:rPr>
        <x:sz val="900"/>
        <x:color rgb="FF24323D"/>
        <x:rFont val="Linux Libertine G"/>
        <x:family val="2"/>
      </x:rPr>
      <x:t xml:space="preserve">只读检查 </x:t>
    </x:r>
    <x:r>
      <x:rPr>
        <x:sz val="900"/>
        <x:color rgb="FF24323D"/>
        <x:rFont val="Hiragino Sans GB"/>
      </x:rPr>
      <x:t xml:space="preserve">CityState</x:t>
    </x:r>
    <x:r>
      <x:rPr>
        <x:sz val="900"/>
        <x:color rgb="FF24323D"/>
        <x:rFont val="Linux Libertine G"/>
        <x:family val="2"/>
      </x:rPr>
      <x:t xml:space="preserve">／战略状态／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写入者与失败写回路径</x:t>
    </x:r>
  </x:si>
  <x:si>
    <x:r>
      <x:rPr>
        <x:sz val="900"/>
        <x:color rgb="FF24323D"/>
        <x:rFont val="Linux Libertine G"/>
        <x:family val="2"/>
      </x:rPr>
      <x:t xml:space="preserve">不存在第二套城市真相；全部失败保留持久布局；未实现前保持 </x:t>
    </x:r>
    <x:r>
      <x:rPr>
        <x:sz val="900"/>
        <x:color rgb="FF24323D"/>
        <x:rFont val="Hiragino Sans GB"/>
      </x:rPr>
      <x:t xml:space="preserve">NOT_RUN</x:t>
    </x:r>
  </x:si>
  <x:si>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开工时由独立 </x:t>
    </x:r>
    <x:r>
      <x:rPr>
        <x:sz val="900"/>
        <x:color rgb="FF24323D"/>
        <x:rFont val="Hiragino Sans GB"/>
      </x:rPr>
      <x:t xml:space="preserve">Agent </x:t>
    </x:r>
    <x:r>
      <x:rPr>
        <x:sz val="900"/>
        <x:color rgb="FF24323D"/>
        <x:rFont val="Linux Libertine G"/>
        <x:family val="2"/>
      </x:rPr>
      <x:t xml:space="preserve">绑定真实代码、</x:t>
    </x:r>
    <x:r>
      <x:rPr>
        <x:sz val="900"/>
        <x:color rgb="FF24323D"/>
        <x:rFont val="Hiragino Sans GB"/>
      </x:rPr>
      <x:t xml:space="preserve">diff</x:t>
    </x:r>
    <x:r>
      <x:rPr>
        <x:sz val="900"/>
        <x:color rgb="FF24323D"/>
        <x:rFont val="Linux Libertine G"/>
        <x:family val="2"/>
      </x:rPr>
      <x:t xml:space="preserve">、测试命令和证据</x:t>
    </x:r>
  </x:si>
  <x:si>
    <x:t xml:space="preserve">Planned</x:t>
  </x:si>
  <x:si>
    <x:t xml:space="preserve">Git/code ownership audit + V5_SINGLE_UNIT_WAR_FOUNDATION_CONTRACT_V0.md</x:t>
  </x:si>
  <x:si>
    <x:t xml:space="preserve">Godot 4.5.1 / stage fixture</x:t>
  </x:si>
  <x:si>
    <x:t xml:space="preserve">/Applications/Godot.app/Contents/MacOS/Godot --headless --path &lt;repo&gt; -s res://tests/run_v5_single_unit_garrison_smoke.gd</x:t>
  </x:si>
  <x:si>
    <x:t xml:space="preserve">REQ-V5-004,REQ-V5-005</x:t>
  </x:si>
  <x:si>
    <x:t xml:space="preserve">REQ-V5-003,REQ-V5-006,REQ-V5-007,REQ-V5-008</x:t>
  </x:si>
  <x:si>
    <x:t xml:space="preserve">REQ-V5-008,REQ-V5-009</x:t>
  </x:si>
  <x:si>
    <x:t xml:space="preserve">阶段实施时依据真实接口登记实际命令</x:t>
  </x:si>
  <x:si>
    <x:t xml:space="preserve">REQ-V5-010,REQ-V5-011,REQ-V5-012</x:t>
  </x:si>
  <x:si>
    <x:t xml:space="preserve">REQ-V5-006,REQ-V5-011,REQ-V5-013</x:t>
  </x:si>
  <x:si>
    <x:t xml:space="preserve">REQ-V6-001,REQ-V6-002,REQ-V6-003,REQ-V6-004</x:t>
  </x:si>
  <x:si>
    <x:t xml:space="preserve">阶段执行记录</x:t>
  </x:si>
  <x:si>
    <x:r>
      <x:rPr>
        <x:i/>
        <x:sz val="1000"/>
        <x:color rgb="FF34495E"/>
        <x:rFont val="Linux Libertine G"/>
        <x:family val="2"/>
      </x:rPr>
      <x:t xml:space="preserve">每轮保留真实命令、退出码、断言统计、</x:t>
    </x:r>
    <x:r>
      <x:rPr>
        <x:i/>
        <x:sz val="1000"/>
        <x:color rgb="FF34495E"/>
        <x:rFont val="Hiragino Sans GB"/>
      </x:rPr>
      <x:t xml:space="preserve">Git </x:t>
    </x:r>
    <x:r>
      <x:rPr>
        <x:i/>
        <x:sz val="1000"/>
        <x:color rgb="FF34495E"/>
        <x:rFont val="Linux Libertine G"/>
        <x:family val="2"/>
      </x:rPr>
      <x:t xml:space="preserve">状态、</x:t>
    </x:r>
    <x:r>
      <x:rPr>
        <x:i/>
        <x:sz val="1000"/>
        <x:color rgb="FF34495E"/>
        <x:rFont val="Hiragino Sans GB"/>
      </x:rPr>
      <x:t xml:space="preserve">patch/commit </x:t>
    </x:r>
    <x:r>
      <x:rPr>
        <x:i/>
        <x:sz val="1000"/>
        <x:color rgb="FF34495E"/>
        <x:rFont val="Linux Libertine G"/>
        <x:family val="2"/>
      </x:rPr>
      <x:t xml:space="preserve">和限制。</x:t>
    </x:r>
  </x:si>
  <x:si>
    <x:t xml:space="preserve">Run ID</x:t>
  </x:si>
  <x:si>
    <x:t xml:space="preserve">Date</x:t>
  </x:si>
  <x:si>
    <x:r>
      <x:rPr>
        <x:b/>
        <x:sz val="1000"/>
        <x:color rgb="FFFFFFFF"/>
        <x:rFont val="Hiragino Sans GB"/>
      </x:rPr>
      <x:t xml:space="preserve">Agent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Model</x:t>
    </x:r>
  </x:si>
  <x:si>
    <x:t xml:space="preserve">Target Task IDs</x:t>
  </x:si>
  <x:si>
    <x:t xml:space="preserve">Start Git State</x:t>
  </x:si>
  <x:si>
    <x:t xml:space="preserve">Files Changed</x:t>
  </x:si>
  <x:si>
    <x:t xml:space="preserve">Commands Run</x:t>
  </x:si>
  <x:si>
    <x:t xml:space="preserve">Tests Run</x:t>
  </x:si>
  <x:si>
    <x:t xml:space="preserve">Result</x:t>
  </x:si>
  <x:si>
    <x:t xml:space="preserve">Known Limitations</x:t>
  </x:si>
  <x:si>
    <x:t xml:space="preserve">End Git State</x:t>
  </x:si>
  <x:si>
    <x:r>
      <x:rPr>
        <x:b/>
        <x:sz val="1000"/>
        <x:color rgb="FFFFFFFF"/>
        <x:rFont val="Hiragino Sans GB"/>
      </x:rPr>
      <x:t xml:space="preserve">Patch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Commit</x:t>
    </x:r>
  </x:si>
  <x:si>
    <x:t xml:space="preserve">Next Task</x:t>
  </x:si>
  <x:si>
    <x:t xml:space="preserve">User Decision Required</x:t>
  </x:si>
  <x:si>
    <x:t xml:space="preserve">RUN-PLAN-001</x:t>
  </x:si>
  <x:si>
    <x:t xml:space="preserve">Main Codex / GPT-5.6</x:t>
  </x:si>
  <x:si>
    <x:t xml:space="preserve">main@64f37bd; 3M+8U; staged 0</x:t>
  </x:si>
  <x:si>
    <x:t xml:space="preserve">docs/planning/*; docs/reviews/* only</x:t>
  </x:si>
  <x:si>
    <x:r>
      <x:rPr>
        <x:sz val="900"/>
        <x:color rgb="FF24323D"/>
        <x:rFont val="Hiragino Sans GB"/>
      </x:rPr>
      <x:t xml:space="preserve">Git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artifact-tool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LibreOffice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Gate/font/mirror audits</x:t>
    </x:r>
  </x:si>
  <x:si>
    <x:t xml:space="preserve">规划控制检查；未运行游戏实现</x:t>
  </x:si>
  <x:si>
    <x:t xml:space="preserve">S1A.2 excluded; no gameplay modifications</x:t>
  </x:si>
  <x:si>
    <x:t xml:space="preserve">same original dirty + planning outputs</x:t>
  </x:si>
  <x:si>
    <x:t xml:space="preserve">/tmp/txwzs-plan-repair-002 backup</x:t>
  </x:si>
  <x:si>
    <x:r>
      <x:rPr>
        <x:sz val="900"/>
        <x:color rgb="FF24323D"/>
        <x:rFont val="Linux Libertine G"/>
        <x:family val="2"/>
      </x:rPr>
      <x:t xml:space="preserve">用户已接受 </x:t>
    </x:r>
    <x:r>
      <x:rPr>
        <x:sz val="900"/>
        <x:color rgb="FF24323D"/>
        <x:rFont val="Hiragino Sans GB"/>
      </x:rPr>
      <x:t xml:space="preserve">REVIEW_003</x:t>
    </x:r>
    <x:r>
      <x:rPr>
        <x:sz val="900"/>
        <x:color rgb="FF24323D"/>
        <x:rFont val="Linux Libertine G"/>
        <x:family val="2"/>
      </x:rPr>
      <x:t xml:space="preserve">；只释放独立技术复查，不执行 </x:t>
    </x:r>
    <x:r>
      <x:rPr>
        <x:sz val="900"/>
        <x:color rgb="FF24323D"/>
        <x:rFont val="Hiragino Sans GB"/>
      </x:rPr>
      <x:t xml:space="preserve">V4</x:t>
    </x:r>
  </x:si>
  <x:si>
    <x:t xml:space="preserve">RUN-PLAN-STATE-SYNC-001</x:t>
  </x:si>
  <x:si>
    <x:t xml:space="preserve">PLAN-STATE-SYNC-001</x:t>
  </x:si>
  <x:si>
    <x:t xml:space="preserve">docs/planning/*; docs/reviews/TXWZS_MASTER_PLAN_STATE_SYNC_001.md</x:t>
  </x:si>
  <x:si>
    <x:r>
      <x:rPr>
        <x:sz val="900"/>
        <x:color rgb="FF24323D"/>
        <x:rFont val="Linux Libertine G"/>
        <x:family val="2"/>
      </x:rPr>
      <x:t xml:space="preserve">正式生成链、</x:t>
    </x:r>
    <x:r>
      <x:rPr>
        <x:sz val="900"/>
        <x:color rgb="FF24323D"/>
        <x:rFont val="Hiragino Sans GB"/>
      </x:rPr>
      <x:t xml:space="preserve">LibreOffice </x:t>
    </x:r>
    <x:r>
      <x:rPr>
        <x:sz val="900"/>
        <x:color rgb="FF24323D"/>
        <x:rFont val="Linux Libertine G"/>
        <x:family val="2"/>
      </x:rPr>
      <x:t xml:space="preserve">重算、结构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映射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字体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镜像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哈希审计</x:t>
    </x:r>
  </x:si>
  <x:si>
    <x:t xml:space="preserve">规划控制状态同步；未运行游戏实现</x:t>
  </x:si>
  <x:si>
    <x:t xml:space="preserve">REVIEW_002/003 retained; V4/S1A.2 protected</x:t>
  </x:si>
  <x:si>
    <x:t xml:space="preserve">same original dirty + regenerated planning outputs</x:t>
  </x:si>
  <x:si>
    <x:t xml:space="preserve">/tmp/txwzs-plan-state-sync-001.XBUp9Q</x:t>
  </x:si>
  <x:si>
    <x:r>
      <x:rPr>
        <x:sz val="900"/>
        <x:color rgb="FF24323D"/>
        <x:rFont val="Linux Libertine G"/>
        <x:family val="2"/>
      </x:rPr>
      <x:t xml:space="preserve">下一轮才可执行 </x:t>
    </x:r>
    <x:r>
      <x:rPr>
        <x:sz val="900"/>
        <x:color rgb="FF24323D"/>
        <x:rFont val="Hiragino Sans GB"/>
      </x:rPr>
      <x:t xml:space="preserve">V4-P5-T001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V4-P6/V5 </x:t>
    </x:r>
    <x:r>
      <x:rPr>
        <x:sz val="900"/>
        <x:color rgb="FF24323D"/>
        <x:rFont val="Linux Libertine G"/>
        <x:family val="2"/>
      </x:rPr>
      <x:t xml:space="preserve">不得开启</x:t>
    </x:r>
  </x:si>
  <x:si>
    <x:t xml:space="preserve">独立复查记录</x:t>
  </x:si>
  <x:si>
    <x:r>
      <x:rPr>
        <x:i/>
        <x:sz val="1000"/>
        <x:color rgb="FF34495E"/>
        <x:rFont val="Linux Libertine G"/>
        <x:family val="2"/>
      </x:rPr>
      <x:t xml:space="preserve">复查者默认只读；实现者不得自行把 </x:t>
    </x:r>
    <x:r>
      <x:rPr>
        <x:i/>
        <x:sz val="1000"/>
        <x:color rgb="FF34495E"/>
        <x:rFont val="Hiragino Sans GB"/>
      </x:rPr>
      <x:t xml:space="preserve">IMPLEMENTED_PENDING_REVIEW </x:t>
    </x:r>
    <x:r>
      <x:rPr>
        <x:i/>
        <x:sz val="1000"/>
        <x:color rgb="FF34495E"/>
        <x:rFont val="Linux Libertine G"/>
        <x:family val="2"/>
      </x:rPr>
      <x:t xml:space="preserve">改为 </x:t>
    </x:r>
    <x:r>
      <x:rPr>
        <x:i/>
        <x:sz val="1000"/>
        <x:color rgb="FF34495E"/>
        <x:rFont val="Hiragino Sans GB"/>
      </x:rPr>
      <x:t xml:space="preserve">VERIFIED</x:t>
    </x:r>
    <x:r>
      <x:rPr>
        <x:i/>
        <x:sz val="1000"/>
        <x:color rgb="FF34495E"/>
        <x:rFont val="Linux Libertine G"/>
        <x:family val="2"/>
      </x:rPr>
      <x:t xml:space="preserve">。</x:t>
    </x:r>
  </x:si>
  <x:si>
    <x:t xml:space="preserve">Review ID</x:t>
  </x:si>
  <x:si>
    <x:t xml:space="preserve">Reviewer Agent</x:t>
  </x:si>
  <x:si>
    <x:t xml:space="preserve">Reviewed Task IDs</x:t>
  </x:si>
  <x:si>
    <x:r>
      <x:rPr>
        <x:b/>
        <x:sz val="1000"/>
        <x:color rgb="FFFFFFFF"/>
        <x:rFont val="Hiragino Sans GB"/>
      </x:rPr>
      <x:t xml:space="preserve">Reviewed Diff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Commit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Patch</x:t>
    </x:r>
  </x:si>
  <x:si>
    <x:t xml:space="preserve">Tests Re-run</x:t>
  </x:si>
  <x:si>
    <x:t xml:space="preserve">Findings</x:t>
  </x:si>
  <x:si>
    <x:t xml:space="preserve">Severity</x:t>
  </x:si>
  <x:si>
    <x:t xml:space="preserve">Blocking</x:t>
  </x:si>
  <x:si>
    <x:t xml:space="preserve">Reproduction</x:t>
  </x:si>
  <x:si>
    <x:t xml:space="preserve">Suggested Direction</x:t>
  </x:si>
  <x:si>
    <x:t xml:space="preserve">Implementer Response</x:t>
  </x:si>
  <x:si>
    <x:t xml:space="preserve">Re-review Result</x:t>
  </x:si>
  <x:si>
    <x:t xml:space="preserve">Final Verdict</x:t>
  </x:si>
  <x:si>
    <x:t xml:space="preserve">RVW-PLAN-001</x:t>
  </x:si>
  <x:si>
    <x:t xml:space="preserve">/root/master_plan_review_fast</x:t>
  </x:si>
  <x:si>
    <x:t xml:space="preserve">Master plan 0.1.0-draft → 0.1.0-review1</x:t>
  </x:si>
  <x:si>
    <x:r>
      <x:rPr>
        <x:sz val="900"/>
        <x:color rgb="FF24323D"/>
        <x:rFont val="Hiragino Sans GB"/>
      </x:rPr>
      <x:t xml:space="preserve">main@64f37bd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MD+5 CSV mirror manifest SHA-256 c21c3b4e95d9026d48b26c8b799ffd8afc7ba48958ddb31ef43098d07a5e8503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/tmp/txwzs-plan-review1-mirror-manifest.sha256</x:t>
    </x:r>
  </x:si>
  <x:si>
    <x:t xml:space="preserve">architecture, facts, dependencies, rollback, test registry, reviewer identity</x:t>
  </x:si>
  <x:si>
    <x:r>
      <x:rPr>
        <x:sz val="900"/>
        <x:color rgb="FF24323D"/>
        <x:rFont val="Linux Libertine G"/>
        <x:family val="2"/>
      </x:rPr>
      <x:t xml:space="preserve">仓库基线、</x:t>
    </x:r>
    <x:r>
      <x:rPr>
        <x:sz val="900"/>
        <x:color rgb="FF24323D"/>
        <x:rFont val="Hiragino Sans GB"/>
      </x:rPr>
      <x:t xml:space="preserve">97 </x:t>
    </x:r>
    <x:r>
      <x:rPr>
        <x:sz val="900"/>
        <x:color rgb="FF24323D"/>
        <x:rFont val="Linux Libertine G"/>
        <x:family val="2"/>
      </x:rPr>
      <x:t xml:space="preserve">个 </x:t>
    </x:r>
    <x:r>
      <x:rPr>
        <x:sz val="900"/>
        <x:color rgb="FF24323D"/>
        <x:rFont val="Hiragino Sans GB"/>
      </x:rPr>
      <x:t xml:space="preserve">test reference </x:t>
    </x:r>
    <x:r>
      <x:rPr>
        <x:sz val="900"/>
        <x:color rgb="FF24323D"/>
        <x:rFont val="Linux Libertine G"/>
        <x:family val="2"/>
      </x:rPr>
      <x:t xml:space="preserve">映射与 </x:t>
    </x:r>
    <x:r>
      <x:rPr>
        <x:sz val="900"/>
        <x:color rgb="FF24323D"/>
        <x:rFont val="Hiragino Sans GB"/>
      </x:rPr>
      <x:t xml:space="preserve">manifest </x:t>
    </x:r>
    <x:r>
      <x:rPr>
        <x:sz val="900"/>
        <x:color rgb="FF24323D"/>
        <x:rFont val="Linux Libertine G"/>
        <x:family val="2"/>
      </x:rPr>
      <x:t xml:space="preserve">全部 </x:t>
    </x:r>
    <x:r>
      <x:rPr>
        <x:sz val="900"/>
        <x:color rgb="FF24323D"/>
        <x:rFont val="Hiragino Sans GB"/>
      </x:rPr>
      <x:t xml:space="preserve">OK</x:t>
    </x:r>
    <x:r>
      <x:rPr>
        <x:sz val="900"/>
        <x:color rgb="FF24323D"/>
        <x:rFont val="Linux Libertine G"/>
        <x:family val="2"/>
      </x:rPr>
      <x:t xml:space="preserve">；未独立复跑全量 </x:t>
    </x:r>
    <x:r>
      <x:rPr>
        <x:sz val="900"/>
        <x:color rgb="FF24323D"/>
        <x:rFont val="Hiragino Sans GB"/>
      </x:rPr>
      <x:t xml:space="preserve">Godot runner</x:t>
    </x:r>
  </x:si>
  <x:si>
    <x:r>
      <x:rPr>
        <x:sz val="900"/>
        <x:color rgb="FF24323D"/>
        <x:rFont val="Hiragino Sans GB"/>
      </x:rPr>
      <x:t xml:space="preserve">PLAN-001</x:t>
    </x:r>
    <x:r>
      <x:rPr>
        <x:sz val="900"/>
        <x:color rgb="FF24323D"/>
        <x:rFont val="Linux Libertine G"/>
        <x:family val="2"/>
      </x:rPr>
      <x:t xml:space="preserve">～</x:t>
    </x:r>
    <x:r>
      <x:rPr>
        <x:sz val="900"/>
        <x:color rgb="FF24323D"/>
        <x:rFont val="Hiragino Sans GB"/>
      </x:rPr>
      <x:t xml:space="preserve">006 </x:t>
    </x:r>
    <x:r>
      <x:rPr>
        <x:sz val="900"/>
        <x:color rgb="FF24323D"/>
        <x:rFont val="Linux Libertine G"/>
        <x:family val="2"/>
      </x:rPr>
      <x:t xml:space="preserve">全部关闭</x:t>
    </x:r>
  </x:si>
  <x:si>
    <x:t xml:space="preserve">NONE</x:t>
  </x:si>
  <x:si>
    <x:t xml:space="preserve">NO</x:t>
  </x:si>
  <x:si>
    <x:r>
      <x:rPr>
        <x:sz val="900"/>
        <x:color rgb="FF24323D"/>
        <x:rFont val="Linux Libertine G"/>
        <x:family val="2"/>
      </x:rPr>
      <x:t xml:space="preserve">独立 </x:t>
    </x:r>
    <x:r>
      <x:rPr>
        <x:sz val="900"/>
        <x:color rgb="FF24323D"/>
        <x:rFont val="Hiragino Sans GB"/>
      </x:rPr>
      <x:t xml:space="preserve">Agent </x:t>
    </x:r>
    <x:r>
      <x:rPr>
        <x:sz val="900"/>
        <x:color rgb="FF24323D"/>
        <x:rFont val="Linux Libertine G"/>
        <x:family val="2"/>
      </x:rPr>
      <x:t xml:space="preserve">审查任务 </x:t>
    </x:r>
    <x:r>
      <x:rPr>
        <x:sz val="900"/>
        <x:color rgb="FF24323D"/>
        <x:rFont val="Hiragino Sans GB"/>
      </x:rPr>
      <x:t xml:space="preserve">/root/master_plan_review_fast</x:t>
    </x:r>
    <x:r>
      <x:rPr>
        <x:sz val="900"/>
        <x:color rgb="FF24323D"/>
        <x:rFont val="Linux Libertine G"/>
        <x:family val="2"/>
      </x:rPr>
      <x:t xml:space="preserve">；两轮复审</x:t>
    </x:r>
  </x:si>
  <x:si>
    <x:r>
      <x:rPr>
        <x:sz val="900"/>
        <x:color rgb="FF24323D"/>
        <x:rFont val="Linux Libertine G"/>
        <x:family val="2"/>
      </x:rPr>
      <x:t xml:space="preserve">修正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集合边界、精确 </x:t>
    </x:r>
    <x:r>
      <x:rPr>
        <x:sz val="900"/>
        <x:color rgb="FF24323D"/>
        <x:rFont val="Hiragino Sans GB"/>
      </x:rPr>
      <x:t xml:space="preserve">patch </x:t>
    </x:r>
    <x:r>
      <x:rPr>
        <x:sz val="900"/>
        <x:color rgb="FF24323D"/>
        <x:rFont val="Linux Libertine G"/>
        <x:family val="2"/>
      </x:rPr>
      <x:t xml:space="preserve">恢复流程、测试注册表、远期任务粒度、证据标签和复审绑定</x:t>
    </x:r>
  </x:si>
  <x:si>
    <x:r>
      <x:rPr>
        <x:sz val="900"/>
        <x:color rgb="FF24323D"/>
        <x:rFont val="Linux Libertine G"/>
        <x:family val="2"/>
      </x:rPr>
      <x:t xml:space="preserve">全部采纳；第一次复审残留 </x:t>
    </x:r>
    <x:r>
      <x:rPr>
        <x:sz val="900"/>
        <x:color rgb="FF24323D"/>
        <x:rFont val="Hiragino Sans GB"/>
      </x:rPr>
      <x:t xml:space="preserve">PLAN-002/004/006 </x:t>
    </x:r>
    <x:r>
      <x:rPr>
        <x:sz val="900"/>
        <x:color rgb="FF24323D"/>
        <x:rFont val="Linux Libertine G"/>
        <x:family val="2"/>
      </x:rPr>
      <x:t xml:space="preserve">已继续修正</x:t>
    </x:r>
  </x:si>
  <x:si>
    <x:r>
      <x:rPr>
        <x:sz val="900"/>
        <x:color rgb="FF24323D"/>
        <x:rFont val="Hiragino Sans GB"/>
      </x:rPr>
      <x:t xml:space="preserve">Round 1 REQUEST_CHANGES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Round 2 ALL CLOSED</x:t>
    </x:r>
  </x:si>
  <x:si>
    <x:t xml:space="preserve">ACCEPTED / ALL_PLAN_FINDINGS_CLOSED</x:t>
  </x:si>
  <x:si>
    <x:t xml:space="preserve">RVW-PLAN-002</x:t>
  </x:si>
  <x:si>
    <x:t xml:space="preserve">/root/master_plan_review_final</x:t>
  </x:si>
  <x:si>
    <x:t xml:space="preserve">PLAN-REPAIR-001 candidate → final</x:t>
  </x:si>
  <x:si>
    <x:r>
      <x:rPr>
        <x:sz val="900"/>
        <x:color rgb="FF24323D"/>
        <x:rFont val="Hiragino Sans GB"/>
      </x:rPr>
      <x:t xml:space="preserve">main@64f37bd</x:t>
    </x:r>
    <x:r>
      <x:rPr>
        <x:sz val="900"/>
        <x:color rgb="FF24323D"/>
        <x:rFont val="Linux Libertine G"/>
        <x:family val="2"/>
      </x:rPr>
      <x:t xml:space="preserve">；报告 </x:t>
    </x:r>
    <x:r>
      <x:rPr>
        <x:sz val="900"/>
        <x:color rgb="FF24323D"/>
        <x:rFont val="Hiragino Sans GB"/>
      </x:rPr>
      <x:t xml:space="preserve">docs/reviews/TXWZS_MASTER_PLAN_REVIEW_002.md</x:t>
    </x:r>
    <x:r>
      <x:rPr>
        <x:sz val="900"/>
        <x:color rgb="FF24323D"/>
        <x:rFont val="Linux Libertine G"/>
        <x:family val="2"/>
      </x:rPr>
      <x:t xml:space="preserve">；最终精确哈希只记录在外部报告</x:t>
    </x:r>
  </x:si>
  <x:si>
    <x:t xml:space="preserve">gate instances, formulas, bidirectional traceability, frozen panes, Chinese rendering, mirrors</x:t>
  </x:si>
  <x:si>
    <x:r>
      <x:rPr>
        <x:sz val="900"/>
        <x:color rgb="FF24323D"/>
        <x:rFont val="Linux Libertine G"/>
        <x:family val="2"/>
      </x:rPr>
      <x:t xml:space="preserve">候选内容复查后由主 </x:t>
    </x:r>
    <x:r>
      <x:rPr>
        <x:sz val="900"/>
        <x:color rgb="FF24323D"/>
        <x:rFont val="Hiragino Sans GB"/>
      </x:rPr>
      <x:t xml:space="preserve">Agent</x:t>
    </x:r>
    <x:r>
      <x:rPr>
        <x:sz val="900"/>
        <x:color rgb="FF24323D"/>
        <x:rFont val="Linux Libertine G"/>
        <x:family val="2"/>
      </x:rPr>
      <x:t xml:space="preserve">处置 </x:t>
    </x:r>
    <x:r>
      <x:rPr>
        <x:sz val="900"/>
        <x:color rgb="FF24323D"/>
        <x:rFont val="Hiragino Sans GB"/>
      </x:rPr>
      <x:t xml:space="preserve">findings</x:t>
    </x:r>
    <x:r>
      <x:rPr>
        <x:sz val="900"/>
        <x:color rgb="FF24323D"/>
        <x:rFont val="Linux Libertine G"/>
        <x:family val="2"/>
      </x:rPr>
      <x:t xml:space="preserve">；最终只读复审绑定 </x:t>
    </x:r>
    <x:r>
      <x:rPr>
        <x:sz val="900"/>
        <x:color rgb="FF24323D"/>
        <x:rFont val="Hiragino Sans GB"/>
      </x:rPr>
      <x:t xml:space="preserve">XLSX/MD/5 CSV/ZIP </x:t>
    </x:r>
    <x:r>
      <x:rPr>
        <x:sz val="900"/>
        <x:color rgb="FF24323D"/>
        <x:rFont val="Linux Libertine G"/>
        <x:family val="2"/>
      </x:rPr>
      <x:t xml:space="preserve">哈希</x:t>
    </x:r>
  </x:si>
  <x:si>
    <x:r>
      <x:rPr>
        <x:sz val="900"/>
        <x:color rgb="FF24323D"/>
        <x:rFont val="Linux Libertine G"/>
        <x:family val="2"/>
      </x:rPr>
      <x:t xml:space="preserve">见 </x:t>
    </x:r>
    <x:r>
      <x:rPr>
        <x:sz val="900"/>
        <x:color rgb="FF24323D"/>
        <x:rFont val="Hiragino Sans GB"/>
      </x:rPr>
      <x:t xml:space="preserve">REVIEW_002</x:t>
    </x:r>
  </x:si>
  <x:si>
    <x:r>
      <x:rPr>
        <x:sz val="900"/>
        <x:color rgb="FF24323D"/>
        <x:rFont val="Linux Libertine G"/>
        <x:family val="2"/>
      </x:rPr>
      <x:t xml:space="preserve">按实际 </x:t>
    </x:r>
    <x:r>
      <x:rPr>
        <x:sz val="900"/>
        <x:color rgb="FF24323D"/>
        <x:rFont val="Hiragino Sans GB"/>
      </x:rPr>
      <x:t xml:space="preserve">finding</x:t>
    </x:r>
  </x:si>
  <x:si>
    <x:t xml:space="preserve">YES</x:t>
  </x:si>
  <x:si>
    <x:r>
      <x:rPr>
        <x:sz val="900"/>
        <x:color rgb="FF24323D"/>
        <x:rFont val="Linux Libertine G"/>
        <x:family val="2"/>
      </x:rPr>
      <x:t xml:space="preserve">两阶段独立复查，不执行 </x:t>
    </x:r>
    <x:r>
      <x:rPr>
        <x:sz val="900"/>
        <x:color rgb="FF24323D"/>
        <x:rFont val="Hiragino Sans GB"/>
      </x:rPr>
      <x:t xml:space="preserve">V4/V5</x:t>
    </x:r>
  </x:si>
  <x:si>
    <x:r>
      <x:rPr>
        <x:sz val="900"/>
        <x:color rgb="FF24323D"/>
        <x:rFont val="Linux Libertine G"/>
        <x:family val="2"/>
      </x:rPr>
      <x:t xml:space="preserve">主 </x:t>
    </x:r>
    <x:r>
      <x:rPr>
        <x:sz val="900"/>
        <x:color rgb="FF24323D"/>
        <x:rFont val="Hiragino Sans GB"/>
      </x:rPr>
      <x:t xml:space="preserve">Agent</x:t>
    </x:r>
    <x:r>
      <x:rPr>
        <x:sz val="900"/>
        <x:color rgb="FF24323D"/>
        <x:rFont val="Linux Libertine G"/>
        <x:family val="2"/>
      </x:rPr>
      <x:t xml:space="preserve">只修正规划产物并重新导出</x:t>
    </x:r>
  </x:si>
  <x:si>
    <x:r>
      <x:rPr>
        <x:sz val="900"/>
        <x:color rgb="FF24323D"/>
        <x:rFont val="Linux Libertine G"/>
        <x:family val="2"/>
      </x:rPr>
      <x:t xml:space="preserve">见 </x:t>
    </x:r>
    <x:r>
      <x:rPr>
        <x:sz val="900"/>
        <x:color rgb="FF24323D"/>
        <x:rFont val="Hiragino Sans GB"/>
      </x:rPr>
      <x:t xml:space="preserve">REVIEW_002 disposition</x:t>
    </x:r>
  </x:si>
  <x:si>
    <x:r>
      <x:rPr>
        <x:sz val="900"/>
        <x:color rgb="FF24323D"/>
        <x:rFont val="Hiragino Sans GB"/>
      </x:rPr>
      <x:t xml:space="preserve">Final re-review </x:t>
    </x:r>
    <x:r>
      <x:rPr>
        <x:sz val="900"/>
        <x:color rgb="FF24323D"/>
        <x:rFont val="Linux Libertine G"/>
        <x:family val="2"/>
      </x:rPr>
      <x:t xml:space="preserve">后产物不得再变化</x:t>
    </x:r>
  </x:si>
  <x:si>
    <x:t xml:space="preserve">ACCEPTED_PENDING_CHATGPT_REVIEW</x:t>
  </x:si>
  <x:si>
    <x:t xml:space="preserve">PLAN-REPAIR-002 candidate → final</x:t>
  </x:si>
  <x:si>
    <x:r>
      <x:rPr>
        <x:sz val="900"/>
        <x:color rgb="FF24323D"/>
        <x:rFont val="Hiragino Sans GB"/>
      </x:rPr>
      <x:t xml:space="preserve">main@64f37bd</x:t>
    </x:r>
    <x:r>
      <x:rPr>
        <x:sz val="900"/>
        <x:color rgb="FF24323D"/>
        <x:rFont val="Linux Libertine G"/>
        <x:family val="2"/>
      </x:rPr>
      <x:t xml:space="preserve">；历史报告 </x:t>
    </x:r>
    <x:r>
      <x:rPr>
        <x:sz val="900"/>
        <x:color rgb="FF24323D"/>
        <x:rFont val="Hiragino Sans GB"/>
      </x:rPr>
      <x:t xml:space="preserve">docs/reviews/TXWZS_MASTER_PLAN_REVIEW_003.md</x:t>
    </x:r>
    <x:r>
      <x:rPr>
        <x:sz val="900"/>
        <x:color rgb="FF24323D"/>
        <x:rFont val="Linux Libertine G"/>
        <x:family val="2"/>
      </x:rPr>
      <x:t xml:space="preserve">；其哈希绑定状态同步前产物</x:t>
    </x:r>
  </x:si>
  <x:si>
    <x:t xml:space="preserve">gate cycles, exact task/test IDs, reverse mapping, full Chinese font coverage, mirrors</x:t>
  </x:si>
  <x:si>
    <x:r>
      <x:rPr>
        <x:sz val="900"/>
        <x:color rgb="FF24323D"/>
        <x:rFont val="Linux Libertine G"/>
        <x:family val="2"/>
      </x:rPr>
      <x:t xml:space="preserve">独立复查绑定状态同步前 </x:t>
    </x:r>
    <x:r>
      <x:rPr>
        <x:sz val="900"/>
        <x:color rgb="FF24323D"/>
        <x:rFont val="Hiragino Sans GB"/>
      </x:rPr>
      <x:t xml:space="preserve">XLSX/MD/5 CSV/ZIP </x:t>
    </x:r>
    <x:r>
      <x:rPr>
        <x:sz val="900"/>
        <x:color rgb="FF24323D"/>
        <x:rFont val="Linux Libertine G"/>
        <x:family val="2"/>
      </x:rPr>
      <x:t xml:space="preserve">哈希；状态同步后的新哈希由 </x:t>
    </x:r>
    <x:r>
      <x:rPr>
        <x:sz val="900"/>
        <x:color rgb="FF24323D"/>
        <x:rFont val="Hiragino Sans GB"/>
      </x:rPr>
      <x:t xml:space="preserve">PLAN-STATE-SYNC-001 </x:t>
    </x:r>
    <x:r>
      <x:rPr>
        <x:sz val="900"/>
        <x:color rgb="FF24323D"/>
        <x:rFont val="Linux Libertine G"/>
        <x:family val="2"/>
      </x:rPr>
      <x:t xml:space="preserve">记录</x:t>
    </x:r>
  </x:si>
  <x:si>
    <x:r>
      <x:rPr>
        <x:sz val="900"/>
        <x:color rgb="FF24323D"/>
        <x:rFont val="Linux Libertine G"/>
        <x:family val="2"/>
      </x:rPr>
      <x:t xml:space="preserve">见 </x:t>
    </x:r>
    <x:r>
      <x:rPr>
        <x:sz val="900"/>
        <x:color rgb="FF24323D"/>
        <x:rFont val="Hiragino Sans GB"/>
      </x:rPr>
      <x:t xml:space="preserve">REVIEW_003</x:t>
    </x:r>
  </x:si>
  <x:si>
    <x:r>
      <x:rPr>
        <x:sz val="900"/>
        <x:color rgb="FF24323D"/>
        <x:rFont val="Linux Libertine G"/>
        <x:family val="2"/>
      </x:rPr>
      <x:t xml:space="preserve">只读复查，不执行 </x:t>
    </x:r>
    <x:r>
      <x:rPr>
        <x:sz val="900"/>
        <x:color rgb="FF24323D"/>
        <x:rFont val="Hiragino Sans GB"/>
      </x:rPr>
      <x:t xml:space="preserve">V4/V5</x:t>
    </x:r>
  </x:si>
  <x:si>
    <x:r>
      <x:rPr>
        <x:sz val="900"/>
        <x:color rgb="FF24323D"/>
        <x:rFont val="Hiragino Sans GB"/>
      </x:rPr>
      <x:t xml:space="preserve">PLAN-REPAIR-002 findings </x:t>
    </x:r>
    <x:r>
      <x:rPr>
        <x:sz val="900"/>
        <x:color rgb="FF24323D"/>
        <x:rFont val="Linux Libertine G"/>
        <x:family val="2"/>
      </x:rPr>
      <x:t xml:space="preserve">全部关闭；用户随后明确接受</x:t>
    </x:r>
  </x:si>
  <x:si>
    <x:r>
      <x:rPr>
        <x:sz val="900"/>
        <x:color rgb="FF24323D"/>
        <x:rFont val="Linux Libertine G"/>
        <x:family val="2"/>
      </x:rPr>
      <x:t xml:space="preserve">全部 </x:t>
    </x:r>
    <x:r>
      <x:rPr>
        <x:sz val="900"/>
        <x:color rgb="FF24323D"/>
        <x:rFont val="Hiragino Sans GB"/>
      </x:rPr>
      <x:t xml:space="preserve">findings </x:t>
    </x:r>
    <x:r>
      <x:rPr>
        <x:sz val="900"/>
        <x:color rgb="FF24323D"/>
        <x:rFont val="Linux Libertine G"/>
        <x:family val="2"/>
      </x:rPr>
      <x:t xml:space="preserve">已关闭；状态同步不修改历史报告</x:t>
    </x:r>
  </x:si>
  <x:si>
    <x:t xml:space="preserve">ACCEPTED / ALL_PLAN_REPAIR_002_FINDINGS_CLOSED</x:t>
  </x:si>
  <x:si>
    <x:t xml:space="preserve">USER_ACCEPTED / ALL_PLAN_REPAIR_002_FINDINGS_CLOSED</x:t>
  </x:si>
  <x:si>
    <x:t xml:space="preserve">风险与决策索引</x:t>
  </x:si>
  <x:si>
    <x:r>
      <x:rPr>
        <x:i/>
        <x:sz val="1000"/>
        <x:color rgb="FF34495E"/>
        <x:rFont val="Linux Libertine G"/>
        <x:family val="2"/>
      </x:rPr>
      <x:t xml:space="preserve">风险与架构决策必须引用证据、备选和反转成本；</x:t>
    </x:r>
    <x:r>
      <x:rPr>
        <x:i/>
        <x:sz val="1000"/>
        <x:color rgb="FF34495E"/>
        <x:rFont val="Hiragino Sans GB"/>
      </x:rPr>
      <x:t xml:space="preserve">CANCELLED </x:t>
    </x:r>
    <x:r>
      <x:rPr>
        <x:i/>
        <x:sz val="1000"/>
        <x:color rgb="FF34495E"/>
        <x:rFont val="Linux Libertine G"/>
        <x:family val="2"/>
      </x:rPr>
      <x:t xml:space="preserve">任务必须关联决策。</x:t>
    </x:r>
  </x:si>
  <x:si>
    <x:r>
      <x:rPr>
        <x:b/>
        <x:sz val="1000"/>
        <x:color rgb="FFFFFFFF"/>
        <x:rFont val="Hiragino Sans GB"/>
      </x:rPr>
      <x:t xml:space="preserve">Risk</x:t>
    </x:r>
    <x:r>
      <x:rPr>
        <x:b/>
        <x:sz val="1000"/>
        <x:color rgb="FFFFFFFF"/>
        <x:rFont val="Linux Libertine G"/>
        <x:family val="2"/>
      </x:rPr>
      <x:t xml:space="preserve">／</x:t>
    </x:r>
    <x:r>
      <x:rPr>
        <x:b/>
        <x:sz val="1000"/>
        <x:color rgb="FFFFFFFF"/>
        <x:rFont val="Hiragino Sans GB"/>
      </x:rPr>
      <x:t xml:space="preserve">Decision ID</x:t>
    </x:r>
  </x:si>
  <x:si>
    <x:t xml:space="preserve">Type</x:t>
  </x:si>
  <x:si>
    <x:t xml:space="preserve">Description</x:t>
  </x:si>
  <x:si>
    <x:t xml:space="preserve">Alternatives</x:t>
  </x:si>
  <x:si>
    <x:t xml:space="preserve">Decision</x:t>
  </x:si>
  <x:si>
    <x:t xml:space="preserve">Consequence</x:t>
  </x:si>
  <x:si>
    <x:t xml:space="preserve">Reversal Cost</x:t>
  </x:si>
  <x:si>
    <x:t xml:space="preserve">Owner</x:t>
  </x:si>
  <x:si>
    <x:t xml:space="preserve">Related Tasks</x:t>
  </x:si>
  <x:si>
    <x:t xml:space="preserve">RISK-001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</x:si>
  <x:si>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虽用数组保存行军对象，但实际只处理 </x:t>
    </x:r>
    <x:r>
      <x:rPr>
        <x:sz val="900"/>
        <x:color rgb="FF24323D"/>
        <x:rFont val="Hiragino Sans GB"/>
      </x:rPr>
      <x:t xml:space="preserve">index 0 </x:t>
    </x:r>
    <x:r>
      <x:rPr>
        <x:sz val="900"/>
        <x:color rgb="FF24323D"/>
        <x:rFont val="Linux Libertine G"/>
        <x:family val="2"/>
      </x:rPr>
      <x:t xml:space="preserve">且禁止并发。</x:t>
    </x:r>
  </x:si>
  <x:si>
    <x:t xml:space="preserve">blackstone_expedition_mvp.gd:202,474,500</x:t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</x:si>
  <x:si>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前不动；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改持久集合；直接泛化 </x:t>
    </x:r>
    <x:r>
      <x:rPr>
        <x:sz val="900"/>
        <x:color rgb="FF24323D"/>
        <x:rFont val="Hiragino Sans GB"/>
      </x:rPr>
      <x:t xml:space="preserve">V4</x:t>
    </x:r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</x:si>
  <x:si>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保持单命令 </x:t>
    </x:r>
    <x:r>
      <x:rPr>
        <x:sz val="900"/>
        <x:color rgb="FF24323D"/>
        <x:rFont val="Hiragino Sans GB"/>
      </x:rPr>
      <x:t xml:space="preserve">UI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即建立持久集合，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启用多 </x:t>
    </x:r>
    <x:r>
      <x:rPr>
        <x:sz val="900"/>
        <x:color rgb="FF24323D"/>
        <x:rFont val="Hiragino Sans GB"/>
      </x:rPr>
      <x:t xml:space="preserve">active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</x:si>
  <x:si>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Linux Libertine G"/>
        <x:family val="2"/>
      </x:rPr>
      <x:t xml:space="preserve">避免 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更换容器和二次迁移。</x:t>
    </x:r>
  </x:si>
  <x:si>
    <x:t xml:space="preserve">Architecture owner</x:t>
  </x:si>
  <x:si>
    <x:t xml:space="preserve">V4-P5-T001,V5-P3-T001,V6-P1-T001</x:t>
  </x:si>
  <x:si>
    <x:t xml:space="preserve">OPEN</x:t>
  </x:si>
  <x:si>
    <x:t xml:space="preserve">RISK-002</x:t>
  </x:si>
  <x:si>
    <x:r>
      <x:rPr>
        <x:sz val="900"/>
        <x:color rgb="FF24323D"/>
        <x:rFont val="Hiragino Sans GB"/>
      </x:rPr>
      <x:t xml:space="preserve">ConstructionController </x:t>
    </x:r>
    <x:r>
      <x:rPr>
        <x:sz val="900"/>
        <x:color rgb="FF24323D"/>
        <x:rFont val="Linux Libertine G"/>
        <x:family val="2"/>
      </x:rPr>
      <x:t xml:space="preserve">已承载大量城市状态，新增 </x:t>
    </x:r>
    <x:r>
      <x:rPr>
        <x:sz val="900"/>
        <x:color rgb="FF24323D"/>
        <x:rFont val="Hiragino Sans GB"/>
      </x:rPr>
      <x:t xml:space="preserve">CityState </x:t>
    </x:r>
    <x:r>
      <x:rPr>
        <x:sz val="900"/>
        <x:color rgb="FF24323D"/>
        <x:rFont val="Linux Libertine G"/>
        <x:family val="2"/>
      </x:rPr>
      <x:t xml:space="preserve">容易复制真相。</x:t>
    </x:r>
  </x:si>
  <x:si>
    <x:t xml:space="preserve">CURRENT_STATE + construction_controller.gd</x:t>
  </x:si>
  <x:si>
    <x:t xml:space="preserve">直接新增类；窄适配；渐进迁移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</x:si>
  <x:si>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先冻结字段所有权，任何迁移必须单写入者。</x:t>
    </x:r>
  </x:si>
  <x:si>
    <x:t xml:space="preserve">复制状态会造成资源、驻军和存档漂移。</x:t>
  </x:si>
  <x:si>
    <x:t xml:space="preserve">RISK-003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</x:si>
  <x:si>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原型继续膨胀会混合输入、</x:t>
    </x:r>
    <x:r>
      <x:rPr>
        <x:sz val="900"/>
        <x:color rgb="FF24323D"/>
        <x:rFont val="Hiragino Sans GB"/>
      </x:rPr>
      <x:t xml:space="preserve">UI</x:t>
    </x:r>
    <x:r>
      <x:rPr>
        <x:sz val="900"/>
        <x:color rgb="FF24323D"/>
        <x:rFont val="Linux Libertine G"/>
        <x:family val="2"/>
      </x:rPr>
      <x:t xml:space="preserve">、行军和战区规则。</x:t>
    </x:r>
  </x:si>
  <x:si>
    <x:r>
      <x:rPr>
        <x:sz val="900"/>
        <x:color rgb="FF24323D"/>
        <x:rFont val="Linux Libertine G"/>
        <x:family val="2"/>
      </x:rPr>
      <x:t xml:space="preserve">当前 </x:t>
    </x:r>
    <x:r>
      <x:rPr>
        <x:sz val="900"/>
        <x:color rgb="FF24323D"/>
        <x:rFont val="Hiragino Sans GB"/>
      </x:rPr>
      <x:t xml:space="preserve">dirty +1156 </x:t>
    </x:r>
    <x:r>
      <x:rPr>
        <x:sz val="900"/>
        <x:color rgb="FF24323D"/>
        <x:rFont val="Linux Libertine G"/>
        <x:family val="2"/>
      </x:rPr>
      <x:t xml:space="preserve">行脚本变化</x:t>
    </x:r>
  </x:si>
  <x:si>
    <x:t xml:space="preserve">继续堆；冻结并窄适配</x:t>
  </x:si>
  <x:si>
    <x:r>
      <x:rPr>
        <x:sz val="900"/>
        <x:color rgb="FF24323D"/>
        <x:rFont val="Hiragino Sans GB"/>
      </x:rPr>
      <x:t xml:space="preserve">V4 freeze </x:t>
    </x:r>
    <x:r>
      <x:rPr>
        <x:sz val="900"/>
        <x:color rgb="FF24323D"/>
        <x:rFont val="Linux Libertine G"/>
        <x:family val="2"/>
      </x:rPr>
      <x:t xml:space="preserve">后只通过 </x:t>
    </x:r>
    <x:r>
      <x:rPr>
        <x:sz val="900"/>
        <x:color rgb="FF24323D"/>
        <x:rFont val="Hiragino Sans GB"/>
      </x:rPr>
      <x:t xml:space="preserve">V5/V6 adapter </x:t>
    </x:r>
    <x:r>
      <x:rPr>
        <x:sz val="900"/>
        <x:color rgb="FF24323D"/>
        <x:rFont val="Linux Libertine G"/>
        <x:family val="2"/>
      </x:rPr>
      <x:t xml:space="preserve">接权威状态。</x:t>
    </x:r>
  </x:si>
  <x:si>
    <x:r>
      <x:rPr>
        <x:sz val="900"/>
        <x:color rgb="FF24323D"/>
        <x:rFont val="Linux Libertine G"/>
        <x:family val="2"/>
      </x:rPr>
      <x:t xml:space="preserve">限制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成为长期世界状态容器。</x:t>
    </x:r>
  </x:si>
  <x:si>
    <x:t xml:space="preserve">中高</x:t>
  </x:si>
  <x:si>
    <x:t xml:space="preserve">Product owner</x:t>
  </x:si>
  <x:si>
    <x:t xml:space="preserve">V4-P5-T001,V5-P3-T002</x:t>
  </x:si>
  <x:si>
    <x:t xml:space="preserve">RISK-004</x:t>
  </x:si>
  <x:si>
    <x:r>
      <x:rPr>
        <x:sz val="900"/>
        <x:color rgb="FF24323D"/>
        <x:rFont val="Hiragino Sans GB"/>
      </x:rPr>
      <x:t xml:space="preserve">S1A.2 </x:t>
    </x:r>
    <x:r>
      <x:rPr>
        <x:sz val="900"/>
        <x:color rgb="FF24323D"/>
        <x:rFont val="Linux Libertine G"/>
        <x:family val="2"/>
      </x:rPr>
      <x:t xml:space="preserve">代码存在但独立验收状态未冻结。</x:t>
    </x:r>
  </x:si>
  <x:si>
    <x:t xml:space="preserve">直接复用；放弃；独立复审</x:t>
  </x:si>
  <x:si>
    <x:t xml:space="preserve">Persistence reviewer</x:t>
  </x:si>
  <x:si>
    <x:t xml:space="preserve">RISK-005</x:t>
  </x:si>
  <x:si>
    <x:r>
      <x:rPr>
        <x:sz val="900"/>
        <x:color rgb="FF24323D"/>
        <x:rFont val="Linux Libertine G"/>
        <x:family val="2"/>
      </x:rPr>
      <x:t xml:space="preserve">重复确认、</x:t>
    </x:r>
    <x:r>
      <x:rPr>
        <x:sz val="900"/>
        <x:color rgb="FF24323D"/>
        <x:rFont val="Hiragino Sans GB"/>
      </x:rPr>
      <x:t xml:space="preserve">frame</x:t>
    </x:r>
    <x:r>
      <x:rPr>
        <x:sz val="900"/>
        <x:color rgb="FF24323D"/>
        <x:rFont val="Linux Libertine G"/>
        <x:family val="2"/>
      </x:rPr>
      <x:t xml:space="preserve">、信号或场景返回可能重复扣兵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抵达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奖励。</x:t>
    </x:r>
  </x:si>
  <x:si>
    <x:r>
      <x:rPr>
        <x:sz val="900"/>
        <x:color rgb="FF24323D"/>
        <x:rFont val="Linux Libertine G"/>
        <x:family val="2"/>
      </x:rPr>
      <x:t xml:space="preserve">分散 </x:t>
    </x:r>
    <x:r>
      <x:rPr>
        <x:sz val="900"/>
        <x:color rgb="FF24323D"/>
        <x:rFont val="Hiragino Sans GB"/>
      </x:rPr>
      <x:t xml:space="preserve">bool</x:t>
    </x:r>
    <x:r>
      <x:rPr>
        <x:sz val="900"/>
        <x:color rgb="FF24323D"/>
        <x:rFont val="Linux Libertine G"/>
        <x:family val="2"/>
      </x:rPr>
      <x:t xml:space="preserve">；稳定 </x:t>
    </x:r>
    <x:r>
      <x:rPr>
        <x:sz val="900"/>
        <x:color rgb="FF24323D"/>
        <x:rFont val="Hiragino Sans GB"/>
      </x:rPr>
      <x:t xml:space="preserve">transaction ledger</x:t>
    </x:r>
  </x:si>
  <x:si>
    <x:r>
      <x:rPr>
        <x:sz val="900"/>
        <x:color rgb="FF24323D"/>
        <x:rFont val="Hiragino Sans GB"/>
      </x:rPr>
      <x:t xml:space="preserve">V5/V6 </x:t>
    </x:r>
    <x:r>
      <x:rPr>
        <x:sz val="900"/>
        <x:color rgb="FF24323D"/>
        <x:rFont val="Linux Libertine G"/>
        <x:family val="2"/>
      </x:rPr>
      <x:t xml:space="preserve">用稳定事务 </x:t>
    </x:r>
    <x:r>
      <x:rPr>
        <x:sz val="900"/>
        <x:color rgb="FF24323D"/>
        <x:rFont val="Hiragino Sans GB"/>
      </x:rPr>
      <x:t xml:space="preserve">ID </x:t>
    </x:r>
    <x:r>
      <x:rPr>
        <x:sz val="900"/>
        <x:color rgb="FF24323D"/>
        <x:rFont val="Linux Libertine G"/>
        <x:family val="2"/>
      </x:rPr>
      <x:t xml:space="preserve">和状态转换；独立复查。</x:t>
    </x:r>
  </x:si>
  <x:si>
    <x:t xml:space="preserve">保证兵力与奖励守恒。</x:t>
  </x:si>
  <x:si>
    <x:t xml:space="preserve">Runtime owner</x:t>
  </x:si>
  <x:si>
    <x:t xml:space="preserve">RISK-006</x:t>
  </x:si>
  <x:si>
    <x:t xml:space="preserve">训练进度由城市战略时间推进，不由场景帧或战斗时间推进。</x:t>
  </x:si>
  <x:si>
    <x:r>
      <x:rPr>
        <x:sz val="900"/>
        <x:color rgb="FF24323D"/>
        <x:rFont val="Linux Libertine G"/>
        <x:family val="2"/>
      </x:rPr>
      <x:t xml:space="preserve">现有 </x:t>
    </x:r>
    <x:r>
      <x:rPr>
        <x:sz val="900"/>
        <x:color rgb="FF24323D"/>
        <x:rFont val="Hiragino Sans GB"/>
      </x:rPr>
      <x:t xml:space="preserve">180s/day</x:t>
    </x:r>
    <x:r>
      <x:rPr>
        <x:sz val="900"/>
        <x:color rgb="FF24323D"/>
        <x:rFont val="Linux Libertine G"/>
        <x:family val="2"/>
      </x:rPr>
      <x:t xml:space="preserve">、战争阻断和日结算</x:t>
    </x:r>
  </x:si>
  <x:si>
    <x:r>
      <x:rPr>
        <x:sz val="900"/>
        <x:color rgb="FF24323D"/>
        <x:rFont val="Linux Libertine G"/>
        <x:family val="2"/>
      </x:rPr>
      <x:t xml:space="preserve">城市时间；真实秒；战斗 </x:t>
    </x:r>
    <x:r>
      <x:rPr>
        <x:sz val="900"/>
        <x:color rgb="FF24323D"/>
        <x:rFont val="Hiragino Sans GB"/>
      </x:rPr>
      <x:t xml:space="preserve">tick</x:t>
    </x:r>
  </x:si>
  <x:si>
    <x:t xml:space="preserve">采用城市战略时间；场景切换不重复推进。</x:t>
  </x:si>
  <x:si>
    <x:t xml:space="preserve">训练与城市日结算保持同一时钟。</x:t>
  </x:si>
  <x:si>
    <x:t xml:space="preserve">中</x:t>
  </x:si>
  <x:si>
    <x:t xml:space="preserve">Product + architecture</x:t>
  </x:si>
  <x:si>
    <x:t xml:space="preserve">RISK-007</x:t>
  </x:si>
  <x:si>
    <x:t xml:space="preserve">全局征募上限与本地驻军必须分开表达。</x:t>
  </x:si>
  <x:si>
    <x:r>
      <x:rPr>
        <x:sz val="900"/>
        <x:color rgb="FF24323D"/>
        <x:rFont val="Linux Libertine G"/>
        <x:family val="2"/>
      </x:rPr>
      <x:t xml:space="preserve">现有 </x:t>
    </x:r>
    <x:r>
      <x:rPr>
        <x:sz val="900"/>
        <x:color rgb="FF24323D"/>
        <x:rFont val="Hiragino Sans GB"/>
      </x:rPr>
      <x:t xml:space="preserve">recruitment_cap + infantry_count</x:t>
    </x:r>
  </x:si>
  <x:si>
    <x:r>
      <x:rPr>
        <x:sz val="900"/>
        <x:color rgb="FF24323D"/>
        <x:rFont val="Linux Libertine G"/>
        <x:family val="2"/>
      </x:rPr>
      <x:t xml:space="preserve">一个总数；驻军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预留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在途分解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</x:si>
  <x:si>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定义驻军守恒式；容量查询聚合各状态。</x:t>
    </x:r>
  </x:si>
  <x:si>
    <x:t xml:space="preserve">玩家能解释驻军、预留、在途和可派兵力。</x:t>
  </x:si>
  <x:si>
    <x:t xml:space="preserve">V5-P0-T004,V5-P1-T004</x:t>
  </x:si>
  <x:si>
    <x:t xml:space="preserve">RISK-008</x:t>
  </x:si>
  <x:si>
    <x:r>
      <x:rPr>
        <x:sz val="900"/>
        <x:color rgb="FF24323D"/>
        <x:rFont val="Linux Libertine G"/>
        <x:family val="2"/>
      </x:rPr>
      <x:t xml:space="preserve">外城遭遇和战事内城可能复制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或城市状态。</x:t>
    </x:r>
  </x:si>
  <x:si>
    <x:t xml:space="preserve">C0 BattleSession + campaign boundary doc</x:t>
  </x:si>
  <x:si>
    <x:r>
      <x:rPr>
        <x:sz val="900"/>
        <x:color rgb="FF24323D"/>
        <x:rFont val="Linux Libertine G"/>
        <x:family val="2"/>
      </x:rPr>
      <x:t xml:space="preserve">两个 </x:t>
    </x:r>
    <x:r>
      <x:rPr>
        <x:sz val="900"/>
        <x:color rgb="FF24323D"/>
        <x:rFont val="Hiragino Sans GB"/>
      </x:rPr>
      <x:t xml:space="preserve">session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配置化</x:t>
    </x:r>
  </x:si>
  <x:si>
    <x:r>
      <x:rPr>
        <x:sz val="900"/>
        <x:color rgb="FF24323D"/>
        <x:rFont val="Hiragino Sans GB"/>
      </x:rPr>
      <x:t xml:space="preserve">V7/V8 </x:t>
    </x:r>
    <x:r>
      <x:rPr>
        <x:sz val="900"/>
        <x:color rgb="FF24323D"/>
        <x:rFont val="Linux Libertine G"/>
        <x:family val="2"/>
      </x:rPr>
      <x:t xml:space="preserve">复用单局 </x:t>
    </x:r>
    <x:r>
      <x:rPr>
        <x:sz val="900"/>
        <x:color rgb="FF24323D"/>
        <x:rFont val="Hiragino Sans GB"/>
      </x:rPr>
      <x:t xml:space="preserve">BattleSession </x:t>
    </x:r>
    <x:r>
      <x:rPr>
        <x:sz val="900"/>
        <x:color rgb="FF24323D"/>
        <x:rFont val="Linux Libertine G"/>
        <x:family val="2"/>
      </x:rPr>
      <x:t xml:space="preserve">契约；持久结果经协调入口写回。</x:t>
    </x:r>
  </x:si>
  <x:si>
    <x:t xml:space="preserve">战斗临时状态不污染持久城市。</x:t>
  </x:si>
  <x:si>
    <x:t xml:space="preserve">Combat reviewer</x:t>
  </x:si>
  <x:si>
    <x:t xml:space="preserve">V7-P0-T001,V8-P0-T001</x:t>
  </x:si>
  <x:si>
    <x:t xml:space="preserve">RISK-009</x:t>
  </x:si>
  <x:si>
    <x:r>
      <x:rPr>
        <x:sz val="900"/>
        <x:color rgb="FF24323D"/>
        <x:rFont val="Linux Libertine G"/>
        <x:family val="2"/>
      </x:rPr>
      <x:t xml:space="preserve">二进制 </x:t>
    </x:r>
    <x:r>
      <x:rPr>
        <x:sz val="900"/>
        <x:color rgb="FF24323D"/>
        <x:rFont val="Hiragino Sans GB"/>
      </x:rPr>
      <x:t xml:space="preserve">Excel </x:t>
    </x:r>
    <x:r>
      <x:rPr>
        <x:sz val="900"/>
        <x:color rgb="FF24323D"/>
        <x:rFont val="Linux Libertine G"/>
        <x:family val="2"/>
      </x:rPr>
      <x:t xml:space="preserve">无法有效 </x:t>
    </x:r>
    <x:r>
      <x:rPr>
        <x:sz val="900"/>
        <x:color rgb="FF24323D"/>
        <x:rFont val="Hiragino Sans GB"/>
      </x:rPr>
      <x:t xml:space="preserve">Git diff</x:t>
    </x:r>
    <x:r>
      <x:rPr>
        <x:sz val="900"/>
        <x:color rgb="FF24323D"/>
        <x:rFont val="Linux Libertine G"/>
        <x:family val="2"/>
      </x:rPr>
      <x:t xml:space="preserve">。</x:t>
    </x:r>
  </x:si>
  <x:si>
    <x:r>
      <x:rPr>
        <x:sz val="900"/>
        <x:color rgb="FF24323D"/>
        <x:rFont val="Hiragino Sans GB"/>
      </x:rPr>
      <x:t xml:space="preserve">xlsx </x:t>
    </x:r>
    <x:r>
      <x:rPr>
        <x:sz val="900"/>
        <x:color rgb="FF24323D"/>
        <x:rFont val="Linux Libertine G"/>
        <x:family val="2"/>
      </x:rPr>
      <x:t xml:space="preserve">格式</x:t>
    </x:r>
  </x:si>
  <x:si>
    <x:r>
      <x:rPr>
        <x:sz val="900"/>
        <x:color rgb="FF24323D"/>
        <x:rFont val="Linux Libertine G"/>
        <x:family val="2"/>
      </x:rPr>
      <x:t xml:space="preserve">只保留 </x:t>
    </x:r>
    <x:r>
      <x:rPr>
        <x:sz val="900"/>
        <x:color rgb="FF24323D"/>
        <x:rFont val="Hiragino Sans GB"/>
      </x:rPr>
      <x:t xml:space="preserve">xlsx</x:t>
    </x:r>
    <x:r>
      <x:rPr>
        <x:sz val="900"/>
        <x:color rgb="FF24323D"/>
        <x:rFont val="Linux Libertine G"/>
        <x:family val="2"/>
      </x:rPr>
      <x:t xml:space="preserve">；文本镜像；脚本源</x:t>
    </x:r>
  </x:si>
  <x:si>
    <x:r>
      <x:rPr>
        <x:sz val="900"/>
        <x:color rgb="FF24323D"/>
        <x:rFont val="Hiragino Sans GB"/>
      </x:rPr>
      <x:t xml:space="preserve">xlsx </x:t>
    </x:r>
    <x:r>
      <x:rPr>
        <x:sz val="900"/>
        <x:color rgb="FF24323D"/>
        <x:rFont val="Linux Libertine G"/>
        <x:family val="2"/>
      </x:rPr>
      <x:t xml:space="preserve">为操作界面；同一修订必须导出 </x:t>
    </x:r>
    <x:r>
      <x:rPr>
        <x:sz val="900"/>
        <x:color rgb="FF24323D"/>
        <x:rFont val="Hiragino Sans GB"/>
      </x:rPr>
      <x:t xml:space="preserve">MD + CSV</x:t>
    </x:r>
    <x:r>
      <x:rPr>
        <x:sz val="900"/>
        <x:color rgb="FF24323D"/>
        <x:rFont val="Linux Libertine G"/>
        <x:family val="2"/>
      </x:rPr>
      <x:t xml:space="preserve">。</x:t>
    </x:r>
  </x:si>
  <x:si>
    <x:t xml:space="preserve">文本镜像提供可审查差异。</x:t>
  </x:si>
  <x:si>
    <x:t xml:space="preserve">低</x:t>
  </x:si>
  <x:si>
    <x:t xml:space="preserve">Planning owner</x:t>
  </x:si>
  <x:si>
    <x:t xml:space="preserve">MITIGATED</x:t>
  </x:si>
  <x:si>
    <x:t xml:space="preserve">RISK-010</x:t>
  </x:si>
  <x:si>
    <x:t xml:space="preserve">规划与代码事实会漂移。</x:t>
  </x:si>
  <x:si>
    <x:r>
      <x:rPr>
        <x:sz val="900"/>
        <x:color rgb="FF24323D"/>
        <x:rFont val="Hiragino Sans GB"/>
      </x:rPr>
      <x:t xml:space="preserve">CURRENT_STATE </x:t>
    </x:r>
    <x:r>
      <x:rPr>
        <x:sz val="900"/>
        <x:color rgb="FF24323D"/>
        <x:rFont val="Linux Libertine G"/>
        <x:family val="2"/>
      </x:rPr>
      <x:t xml:space="preserve">历史记录多次过期</x:t>
    </x:r>
  </x:si>
  <x:si>
    <x:r>
      <x:rPr>
        <x:sz val="900"/>
        <x:color rgb="FF24323D"/>
        <x:rFont val="Linux Libertine G"/>
        <x:family val="2"/>
      </x:rPr>
      <x:t xml:space="preserve">计划自证；每阶段 </x:t>
    </x:r>
    <x:r>
      <x:rPr>
        <x:sz val="900"/>
        <x:color rgb="FF24323D"/>
        <x:rFont val="Hiragino Sans GB"/>
      </x:rPr>
      <x:t xml:space="preserve">G0 </x:t>
    </x:r>
    <x:r>
      <x:rPr>
        <x:sz val="900"/>
        <x:color rgb="FF24323D"/>
        <x:rFont val="Linux Libertine G"/>
        <x:family val="2"/>
      </x:rPr>
      <x:t xml:space="preserve">刷新</x:t>
    </x:r>
  </x:si>
  <x:si>
    <x:r>
      <x:rPr>
        <x:sz val="900"/>
        <x:color rgb="FF24323D"/>
        <x:rFont val="Linux Libertine G"/>
        <x:family val="2"/>
      </x:rPr>
      <x:t xml:space="preserve">每个阶段开始重新查 </x:t>
    </x:r>
    <x:r>
      <x:rPr>
        <x:sz val="900"/>
        <x:color rgb="FF24323D"/>
        <x:rFont val="Hiragino Sans GB"/>
      </x:rPr>
      <x:t xml:space="preserve">Git/</x:t>
    </x:r>
    <x:r>
      <x:rPr>
        <x:sz val="900"/>
        <x:color rgb="FF24323D"/>
        <x:rFont val="Linux Libertine G"/>
        <x:family val="2"/>
      </x:rPr>
      <x:t xml:space="preserve">代码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测试并更新基线差异。</x:t>
    </x:r>
  </x:si>
  <x:si>
    <x:t xml:space="preserve">远期计划不会替代运行事实。</x:t>
  </x:si>
  <x:si>
    <x:t xml:space="preserve">RISK-011</x:t>
  </x:si>
  <x:si>
    <x:r>
      <x:rPr>
        <x:sz val="900"/>
        <x:color rgb="FF24323D"/>
        <x:rFont val="Linux Libertine G"/>
        <x:family val="2"/>
      </x:rPr>
      <x:t xml:space="preserve">没有绑定 </x:t>
    </x:r>
    <x:r>
      <x:rPr>
        <x:sz val="900"/>
        <x:color rgb="FF24323D"/>
        <x:rFont val="Hiragino Sans GB"/>
      </x:rPr>
      <x:t xml:space="preserve">reviewer identity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reviewed baseline/hash </x:t>
    </x:r>
    <x:r>
      <x:rPr>
        <x:sz val="900"/>
        <x:color rgb="FF24323D"/>
        <x:rFont val="Linux Libertine G"/>
        <x:family val="2"/>
      </x:rPr>
      <x:t xml:space="preserve">与 </x:t>
    </x:r>
    <x:r>
      <x:rPr>
        <x:sz val="900"/>
        <x:color rgb="FF24323D"/>
        <x:rFont val="Hiragino Sans GB"/>
      </x:rPr>
      <x:t xml:space="preserve">re-review </x:t>
    </x:r>
    <x:r>
      <x:rPr>
        <x:sz val="900"/>
        <x:color rgb="FF24323D"/>
        <x:rFont val="Linux Libertine G"/>
        <x:family val="2"/>
      </x:rPr>
      <x:t xml:space="preserve">的“独立复查”仍可能退化为实现者自证。</x:t>
    </x:r>
  </x:si>
  <x:si>
    <x:r>
      <x:rPr>
        <x:sz val="900"/>
        <x:color rgb="FF24323D"/>
        <x:rFont val="Hiragino Sans GB"/>
      </x:rPr>
      <x:t xml:space="preserve">RVW-PLAN-001 </x:t>
    </x:r>
    <x:r>
      <x:rPr>
        <x:sz val="900"/>
        <x:color rgb="FF24323D"/>
        <x:rFont val="Linux Libertine G"/>
        <x:family val="2"/>
      </x:rPr>
      <x:t xml:space="preserve">初审 </x:t>
    </x:r>
    <x:r>
      <x:rPr>
        <x:sz val="900"/>
        <x:color rgb="FF24323D"/>
        <x:rFont val="Hiragino Sans GB"/>
      </x:rPr>
      <x:t xml:space="preserve">PLAN-006</x:t>
    </x:r>
  </x:si>
  <x:si>
    <x:t xml:space="preserve">只写角色标签；绑定审查任务与证据</x:t>
  </x:si>
  <x:si>
    <x:r>
      <x:rPr>
        <x:sz val="900"/>
        <x:color rgb="FF24323D"/>
        <x:rFont val="Hiragino Sans GB"/>
      </x:rPr>
      <x:t xml:space="preserve">G5 </x:t>
    </x:r>
    <x:r>
      <x:rPr>
        <x:sz val="900"/>
        <x:color rgb="FF24323D"/>
        <x:rFont val="Linux Libertine G"/>
        <x:family val="2"/>
      </x:rPr>
      <x:t xml:space="preserve">必须记录 </x:t>
    </x:r>
    <x:r>
      <x:rPr>
        <x:sz val="900"/>
        <x:color rgb="FF24323D"/>
        <x:rFont val="Hiragino Sans GB"/>
      </x:rPr>
      <x:t xml:space="preserve">reviewer task identity</x:t>
    </x:r>
    <x:r>
      <x:rPr>
        <x:sz val="900"/>
        <x:color rgb="FF24323D"/>
        <x:rFont val="Linux Libertine G"/>
        <x:family val="2"/>
      </x:rPr>
      <x:t xml:space="preserve">、审查基线</x:t>
    </x:r>
    <x:r>
      <x:rPr>
        <x:sz val="900"/>
        <x:color rgb="FF24323D"/>
        <x:rFont val="Hiragino Sans GB"/>
      </x:rPr>
      <x:t xml:space="preserve">/patch/hash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findings </x:t>
    </x:r>
    <x:r>
      <x:rPr>
        <x:sz val="900"/>
        <x:color rgb="FF24323D"/>
        <x:rFont val="Linux Libertine G"/>
        <x:family val="2"/>
      </x:rPr>
      <x:t xml:space="preserve">处置和复审结论；实现者不得自审通过。</x:t>
    </x:r>
  </x:si>
  <x:si>
    <x:r>
      <x:rPr>
        <x:sz val="900"/>
        <x:color rgb="FF24323D"/>
        <x:rFont val="Linux Libertine G"/>
        <x:family val="2"/>
      </x:rPr>
      <x:t xml:space="preserve">每个验收 </x:t>
    </x:r>
    <x:r>
      <x:rPr>
        <x:sz val="900"/>
        <x:color rgb="FF24323D"/>
        <x:rFont val="Hiragino Sans GB"/>
      </x:rPr>
      <x:t xml:space="preserve">verdict </x:t>
    </x:r>
    <x:r>
      <x:rPr>
        <x:sz val="900"/>
        <x:color rgb="FF24323D"/>
        <x:rFont val="Linux Libertine G"/>
        <x:family val="2"/>
      </x:rPr>
      <x:t xml:space="preserve">可追溯到具体审查任务和证据。</x:t>
    </x:r>
  </x:si>
  <x:si>
    <x:t xml:space="preserve">Review owner</x:t>
  </x:si>
  <x:si>
    <x:t xml:space="preserve">V4-P5-T001,V5-P7-T005,V5-P7-T006</x:t>
  </x:si>
  <x:si>
    <x:t xml:space="preserve">DEC-001</x:t>
  </x:si>
  <x:si>
    <x:t xml:space="preserve">四层世界结构：常态内城、外城战区、战事内城、天下地图。</x:t>
  </x:si>
  <x:si>
    <x:t xml:space="preserve">用户冻结方向</x:t>
  </x:si>
  <x:si>
    <x:t xml:space="preserve">统一场景；四层状态边界</x:t>
  </x:si>
  <x:si>
    <x:t xml:space="preserve">按持久性和生命周期分层，不复制持久城市真相。</x:t>
  </x:si>
  <x:si>
    <x:t xml:space="preserve">后续状态对象按层级和生命周期归属。</x:t>
  </x:si>
  <x:si>
    <x:t xml:space="preserve">V5-P0-T002,V6-P0-T001,V8-P0-T001</x:t>
  </x:si>
  <x:si>
    <x:t xml:space="preserve">DEC-002</x:t>
  </x:si>
  <x:si>
    <x:r>
      <x:rPr>
        <x:sz val="900"/>
        <x:color rgb="FF24323D"/>
        <x:rFont val="Linux Libertine G"/>
        <x:family val="2"/>
      </x:rPr>
      <x:t xml:space="preserve">滚动式规划：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详细、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中度、</x:t>
    </x:r>
    <x:r>
      <x:rPr>
        <x:sz val="900"/>
        <x:color rgb="FF24323D"/>
        <x:rFont val="Hiragino Sans GB"/>
      </x:rPr>
      <x:t xml:space="preserve">V7–V12 </x:t>
    </x:r>
    <x:r>
      <x:rPr>
        <x:sz val="900"/>
        <x:color rgb="FF24323D"/>
        <x:rFont val="Linux Libertine G"/>
        <x:family val="2"/>
      </x:rPr>
      <x:t xml:space="preserve">工作包级。</x:t>
    </x:r>
  </x:si>
  <x:si>
    <x:t xml:space="preserve">用户任务</x:t>
  </x:si>
  <x:si>
    <x:t xml:space="preserve">全部精确；全部粗略；滚动式</x:t>
  </x:si>
  <x:si>
    <x:t xml:space="preserve">采用滚动式，阶段开始前展开远期任务。</x:t>
  </x:si>
  <x:si>
    <x:t xml:space="preserve">降低远期假精度与维护成本。</x:t>
  </x:si>
  <x:si>
    <x:t xml:space="preserve">DEC-003</x:t>
  </x:si>
  <x:si>
    <x:r>
      <x:rPr>
        <x:sz val="900"/>
        <x:color rgb="FF24323D"/>
        <x:rFont val="Linux Libertine G"/>
        <x:family val="2"/>
      </x:rPr>
      <x:t xml:space="preserve">只有 </x:t>
    </x:r>
    <x:r>
      <x:rPr>
        <x:sz val="900"/>
        <x:color rgb="FF24323D"/>
        <x:rFont val="Hiragino Sans GB"/>
      </x:rPr>
      <x:t xml:space="preserve">VERIFIED </x:t>
    </x:r>
    <x:r>
      <x:rPr>
        <x:sz val="900"/>
        <x:color rgb="FF24323D"/>
        <x:rFont val="Linux Libertine G"/>
        <x:family val="2"/>
      </x:rPr>
      <x:t xml:space="preserve">计入进度；</x:t>
    </x:r>
    <x:r>
      <x:rPr>
        <x:sz val="900"/>
        <x:color rgb="FF24323D"/>
        <x:rFont val="Hiragino Sans GB"/>
      </x:rPr>
      <x:t xml:space="preserve">CANCELLED </x:t>
    </x:r>
    <x:r>
      <x:rPr>
        <x:sz val="900"/>
        <x:color rgb="FF24323D"/>
        <x:rFont val="Linux Libertine G"/>
        <x:family val="2"/>
      </x:rPr>
      <x:t xml:space="preserve">需决策记录且从分母排除。</x:t>
    </x:r>
  </x:si>
  <x:si>
    <x:r>
      <x:rPr>
        <x:sz val="900"/>
        <x:color rgb="FF24323D"/>
        <x:rFont val="Linux Libertine G"/>
        <x:family val="2"/>
      </x:rPr>
      <x:t xml:space="preserve">实现即完成；</x:t>
    </x:r>
    <x:r>
      <x:rPr>
        <x:sz val="900"/>
        <x:color rgb="FF24323D"/>
        <x:rFont val="Hiragino Sans GB"/>
      </x:rPr>
      <x:t xml:space="preserve">review </x:t>
    </x:r>
    <x:r>
      <x:rPr>
        <x:sz val="900"/>
        <x:color rgb="FF24323D"/>
        <x:rFont val="Linux Libertine G"/>
        <x:family val="2"/>
      </x:rPr>
      <x:t xml:space="preserve">后完成</x:t>
    </x:r>
  </x:si>
  <x:si>
    <x:r>
      <x:rPr>
        <x:sz val="900"/>
        <x:color rgb="FF24323D"/>
        <x:rFont val="Hiragino Sans GB"/>
      </x:rPr>
      <x:t xml:space="preserve">VERIFIED </x:t>
    </x:r>
    <x:r>
      <x:rPr>
        <x:sz val="900"/>
        <x:color rgb="FF24323D"/>
        <x:rFont val="Linux Libertine G"/>
        <x:family val="2"/>
      </x:rPr>
      <x:t xml:space="preserve">才完成；</x:t>
    </x:r>
    <x:r>
      <x:rPr>
        <x:sz val="900"/>
        <x:color rgb="FF24323D"/>
        <x:rFont val="Hiragino Sans GB"/>
      </x:rPr>
      <x:t xml:space="preserve">CANCELLED </x:t>
    </x:r>
    <x:r>
      <x:rPr>
        <x:sz val="900"/>
        <x:color rgb="FF24323D"/>
        <x:rFont val="Linux Libertine G"/>
        <x:family val="2"/>
      </x:rPr>
      <x:t xml:space="preserve">必须关联决策。</x:t>
    </x:r>
  </x:si>
  <x:si>
    <x:t xml:space="preserve">进度不会被未复查实现或取消项虚增。</x:t>
  </x:si>
  <x:si>
    <x:t xml:space="preserve">DEC-004</x:t>
  </x:si>
  <x:si>
    <x:r>
      <x:rPr>
        <x:sz val="1000"/>
        <x:color rgb="FF000000"/>
        <x:rFont val="Arial"/>
        <x:family val="2"/>
      </x:rPr>
      <x:t xml:space="preserve">V4 </x:t>
    </x:r>
    <x:r>
      <x:rPr>
        <x:sz val="1000"/>
        <x:color rgb="FF000000"/>
        <x:rFont val="Linux Libertine G"/>
        <x:family val="2"/>
      </x:rPr>
      <x:t xml:space="preserve">以整个里程碑为最终验收单位；已独立通过且哈希未变化的单点不再重复创建 </x:t>
    </x:r>
    <x:r>
      <x:rPr>
        <x:sz val="1000"/>
        <x:color rgb="FF000000"/>
        <x:rFont val="Arial"/>
        <x:family val="2"/>
      </x:rPr>
      <x:t xml:space="preserve">Review</x:t>
    </x:r>
    <x:r>
      <x:rPr>
        <x:sz val="1000"/>
        <x:color rgb="FF000000"/>
        <x:rFont val="Linux Libertine G"/>
        <x:family val="2"/>
      </x:rPr>
      <x:t xml:space="preserve">。</x:t>
    </x:r>
  </x:si>
  <x:si>
    <x:r>
      <x:rPr>
        <x:sz val="1000"/>
        <x:color rgb="FF000000"/>
        <x:rFont val="Linux Libertine G"/>
        <x:family val="2"/>
      </x:rPr>
      <x:t xml:space="preserve">用户 </x:t>
    </x:r>
    <x:r>
      <x:rPr>
        <x:sz val="1000"/>
        <x:color rgb="FF000000"/>
        <x:rFont val="Arial"/>
        <x:family val="2"/>
      </x:rPr>
      <x:t xml:space="preserve">2026-07-30 </x:t>
    </x:r>
    <x:r>
      <x:rPr>
        <x:sz val="1000"/>
        <x:color rgb="FF000000"/>
        <x:rFont val="Linux Libertine G"/>
        <x:family val="2"/>
      </x:rPr>
      <x:t xml:space="preserve">明确接受 </x:t>
    </x:r>
    <x:r>
      <x:rPr>
        <x:sz val="1000"/>
        <x:color rgb="FF000000"/>
        <x:rFont val="Arial"/>
        <x:family val="2"/>
      </x:rPr>
      <x:t xml:space="preserve">V4_UI_VISUAL_SLICE_INDEPENDENT_REVIEW_002</x:t>
    </x:r>
    <x:r>
      <x:rPr>
        <x:sz val="1000"/>
        <x:color rgb="FF000000"/>
        <x:rFont val="Linux Libertine G"/>
        <x:family val="2"/>
      </x:rPr>
      <x:t xml:space="preserve">；最终综合 </x:t>
    </x:r>
    <x:r>
      <x:rPr>
        <x:sz val="1000"/>
        <x:color rgb="FF000000"/>
        <x:rFont val="Arial"/>
        <x:family val="2"/>
      </x:rPr>
      <x:t xml:space="preserve">Gate </x:t>
    </x:r>
    <x:r>
      <x:rPr>
        <x:sz val="1000"/>
        <x:color rgb="FF000000"/>
        <x:rFont val="Linux Libertine G"/>
        <x:family val="2"/>
      </x:rPr>
      <x:t xml:space="preserve">证据</x:t>
    </x:r>
  </x:si>
  <x:si>
    <x:r>
      <x:rPr>
        <x:sz val="1000"/>
        <x:color rgb="FF000000"/>
        <x:rFont val="Linux Libertine G"/>
        <x:family val="2"/>
      </x:rPr>
      <x:t xml:space="preserve">逐单点继续 </x:t>
    </x:r>
    <x:r>
      <x:rPr>
        <x:sz val="1000"/>
        <x:color rgb="FF000000"/>
        <x:rFont val="Arial"/>
        <x:family val="2"/>
      </x:rPr>
      <x:t xml:space="preserve">Repair/Review</x:t>
    </x:r>
    <x:r>
      <x:rPr>
        <x:sz val="1000"/>
        <x:color rgb="FF000000"/>
        <x:rFont val="Linux Libertine G"/>
        <x:family val="2"/>
      </x:rPr>
      <x:t xml:space="preserve">；整体综合 </x:t>
    </x:r>
    <x:r>
      <x:rPr>
        <x:sz val="1000"/>
        <x:color rgb="FF000000"/>
        <x:rFont val="Arial"/>
        <x:family val="2"/>
      </x:rPr>
      <x:t xml:space="preserve">Gate</x:t>
    </x:r>
    <x:r>
      <x:rPr>
        <x:sz val="1000"/>
        <x:color rgb="FF000000"/>
        <x:rFont val="Linux Libertine G"/>
        <x:family val="2"/>
      </x:rPr>
      <x:t xml:space="preserve">；直接跳过最终 </x:t>
    </x:r>
    <x:r>
      <x:rPr>
        <x:sz val="1000"/>
        <x:color rgb="FF000000"/>
        <x:rFont val="Arial"/>
        <x:family val="2"/>
      </x:rPr>
      <x:t xml:space="preserve">Gate</x:t>
    </x:r>
  </x:si>
  <x:si>
    <x:r>
      <x:rPr>
        <x:sz val="1000"/>
        <x:color rgb="FF000000"/>
        <x:rFont val="Linux Libertine G"/>
        <x:family val="2"/>
      </x:rPr>
      <x:t xml:space="preserve">采用一次 </x:t>
    </x:r>
    <x:r>
      <x:rPr>
        <x:sz val="1000"/>
        <x:color rgb="FF000000"/>
        <x:rFont val="Arial"/>
        <x:family val="2"/>
      </x:rPr>
      <x:t xml:space="preserve">V4 </x:t>
    </x:r>
    <x:r>
      <x:rPr>
        <x:sz val="1000"/>
        <x:color rgb="FF000000"/>
        <x:rFont val="Linux Libertine G"/>
        <x:family val="2"/>
      </x:rPr>
      <x:t xml:space="preserve">综合 </x:t>
    </x:r>
    <x:r>
      <x:rPr>
        <x:sz val="1000"/>
        <x:color rgb="FF000000"/>
        <x:rFont val="Arial"/>
        <x:family val="2"/>
      </x:rPr>
      <x:t xml:space="preserve">Gate</x:t>
    </x:r>
    <x:r>
      <x:rPr>
        <x:sz val="1000"/>
        <x:color rgb="FF000000"/>
        <x:rFont val="Linux Libertine G"/>
        <x:family val="2"/>
      </x:rPr>
      <x:t xml:space="preserve">；普通问题本轮直接修复复验，最终通过后冻结并开启 </x:t>
    </x:r>
    <x:r>
      <x:rPr>
        <x:sz val="1000"/>
        <x:color rgb="FF000000"/>
        <x:rFont val="Arial"/>
        <x:family val="2"/>
      </x:rPr>
      <x:t xml:space="preserve">V5</x:t>
    </x:r>
    <x:r>
      <x:rPr>
        <x:sz val="1000"/>
        <x:color rgb="FF000000"/>
        <x:rFont val="Linux Libertine G"/>
        <x:family val="2"/>
      </x:rPr>
      <x:t xml:space="preserve">。</x:t>
    </x:r>
  </x:si>
  <x:si>
    <x:r>
      <x:rPr>
        <x:sz val="1000"/>
        <x:color rgb="FF000000"/>
        <x:rFont val="Linux Libertine G"/>
        <x:family val="2"/>
      </x:rPr>
      <x:t xml:space="preserve">减少机械审计切片，同时保留 </x:t>
    </x:r>
    <x:r>
      <x:rPr>
        <x:sz val="1000"/>
        <x:color rgb="FF000000"/>
        <x:rFont val="Arial"/>
        <x:family val="2"/>
      </x:rPr>
      <x:t xml:space="preserve">C0/</x:t>
    </x:r>
    <x:r>
      <x:rPr>
        <x:sz val="1000"/>
        <x:color rgb="FF000000"/>
        <x:rFont val="Linux Libertine G"/>
        <x:family val="2"/>
      </x:rPr>
      <x:t xml:space="preserve">存档等高风险边界与最终回归证据。</x:t>
    </x:r>
  </x:si>
  <x:si>
    <x:t xml:space="preserve">V4-P6-T001,V4-P6-T002,V5-P0-T001</x:t>
  </x:si>
  <x:si>
    <x:t xml:space="preserve">规划变更日志</x:t>
  </x:si>
  <x:si>
    <x:t xml:space="preserve">只记录规划系统变化，不与产品代码变更混写。</x:t>
  </x:si>
  <x:si>
    <x:t xml:space="preserve">Plan Version</x:t>
  </x:si>
  <x:si>
    <x:t xml:space="preserve">Author</x:t>
  </x:si>
  <x:si>
    <x:t xml:space="preserve">Change Summary</x:t>
  </x:si>
  <x:si>
    <x:t xml:space="preserve">Affected Areas</x:t>
  </x:si>
  <x:si>
    <x:t xml:space="preserve">Reason</x:t>
  </x:si>
  <x:si>
    <x:t xml:space="preserve">0.1.0-draft</x:t>
  </x:si>
  <x:si>
    <x:t xml:space="preserve">初建长期开发控制系统</x:t>
  </x:si>
  <x:si>
    <x:r>
      <x:rPr>
        <x:sz val="900"/>
        <x:color rgb="FF24323D"/>
        <x:rFont val="Linux Libertine G"/>
        <x:family val="2"/>
      </x:rPr>
      <x:t xml:space="preserve">新增 </x:t>
    </x:r>
    <x:r>
      <x:rPr>
        <x:sz val="900"/>
        <x:color rgb="FF24323D"/>
        <x:rFont val="Hiragino Sans GB"/>
      </x:rPr>
      <x:t xml:space="preserve">13 sheets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V4–V12 </x:t>
    </x:r>
    <x:r>
      <x:rPr>
        <x:sz val="900"/>
        <x:color rgb="FF24323D"/>
        <x:rFont val="Linux Libertine G"/>
        <x:family val="2"/>
      </x:rPr>
      <x:t xml:space="preserve">路线、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详细任务、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中度任务、验收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测试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所有权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风险索引</x:t>
    </x:r>
  </x:si>
  <x:si>
    <x:t xml:space="preserve">提交独立复查</x:t>
  </x:si>
  <x:si>
    <x:t xml:space="preserve">0.1.0-review1</x:t>
  </x:si>
  <x:si>
    <x:t xml:space="preserve">2026-07-28</x:t>
  </x:si>
  <x:si>
    <x:r>
      <x:rPr>
        <x:sz val="900"/>
        <x:color rgb="FF24323D"/>
        <x:rFont val="Linux Libertine G"/>
        <x:family val="2"/>
      </x:rPr>
      <x:t xml:space="preserve">处理独立审查 </x:t>
    </x:r>
    <x:r>
      <x:rPr>
        <x:sz val="900"/>
        <x:color rgb="FF24323D"/>
        <x:rFont val="Hiragino Sans GB"/>
      </x:rPr>
      <x:t xml:space="preserve">PLAN-001</x:t>
    </x:r>
    <x:r>
      <x:rPr>
        <x:sz val="900"/>
        <x:color rgb="FF24323D"/>
        <x:rFont val="Linux Libertine G"/>
        <x:family val="2"/>
      </x:rPr>
      <x:t xml:space="preserve">～</x:t>
    </x:r>
    <x:r>
      <x:rPr>
        <x:sz val="900"/>
        <x:color rgb="FF24323D"/>
        <x:rFont val="Hiragino Sans GB"/>
      </x:rPr>
      <x:t xml:space="preserve">006</x:t>
    </x:r>
  </x:si>
  <x:si>
    <x:r>
      <x:rPr>
        <x:sz val="900"/>
        <x:color rgb="FF24323D"/>
        <x:rFont val="Hiragino Sans GB"/>
      </x:rPr>
      <x:t xml:space="preserve">V5/V6 ArmyState </x:t>
    </x:r>
    <x:r>
      <x:rPr>
        <x:sz val="900"/>
        <x:color rgb="FF24323D"/>
        <x:rFont val="Linux Libertine G"/>
        <x:family val="2"/>
      </x:rPr>
      <x:t xml:space="preserve">边界、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回滚、测试注册表、远期粒度、证据标签、</x:t>
    </x:r>
    <x:r>
      <x:rPr>
        <x:sz val="900"/>
        <x:color rgb="FF24323D"/>
        <x:rFont val="Hiragino Sans GB"/>
      </x:rPr>
      <x:t xml:space="preserve">review identity</x:t>
    </x:r>
  </x:si>
  <x:si>
    <x:t xml:space="preserve">关闭初审阻断项并请求复审</x:t>
  </x:si>
  <x:si>
    <x:t xml:space="preserve">0.2.0-review2</x:t>
  </x:si>
  <x:si>
    <x:r>
      <x:rPr>
        <x:sz val="900"/>
        <x:color rgb="FF24323D"/>
        <x:rFont val="Hiragino Sans GB"/>
      </x:rPr>
      <x:t xml:space="preserve">PLAN-REPAIR-001 </x:t>
    </x:r>
    <x:r>
      <x:rPr>
        <x:sz val="900"/>
        <x:color rgb="FF24323D"/>
        <x:rFont val="Linux Libertine G"/>
        <x:family val="2"/>
      </x:rPr>
      <x:t xml:space="preserve">修正规划控制系统</x:t>
    </x:r>
  </x:si>
  <x:si>
    <x:r>
      <x:rPr>
        <x:sz val="900"/>
        <x:color rgb="FF24323D"/>
        <x:rFont val="Linux Libertine G"/>
        <x:family val="2"/>
      </x:rPr>
      <x:t xml:space="preserve">建立 </x:t>
    </x:r>
    <x:r>
      <x:rPr>
        <x:sz val="900"/>
        <x:color rgb="FF24323D"/>
        <x:rFont val="Hiragino Sans GB"/>
      </x:rPr>
      <x:t xml:space="preserve">63 </x:t>
    </x:r>
    <x:r>
      <x:rPr>
        <x:sz val="900"/>
        <x:color rgb="FF24323D"/>
        <x:rFont val="Linux Libertine G"/>
        <x:family val="2"/>
      </x:rPr>
      <x:t xml:space="preserve">个阶段门实例；移除 </x:t>
    </x:r>
    <x:r>
      <x:rPr>
        <x:sz val="900"/>
        <x:color rgb="FF24323D"/>
        <x:rFont val="Hiragino Sans GB"/>
      </x:rPr>
      <x:t xml:space="preserve">18 </x:t>
    </x:r>
    <x:r>
      <x:rPr>
        <x:sz val="900"/>
        <x:color rgb="FF24323D"/>
        <x:rFont val="Linux Libertine G"/>
        <x:family val="2"/>
      </x:rPr>
      <x:t xml:space="preserve">个无引用的重复需求占位测试；新增真实但未运行的架构所有权复查；双向映射、公式、冻结窗格、中文字体和三类镜像同步</x:t>
    </x:r>
  </x:si>
  <x:si>
    <x:r>
      <x:rPr>
        <x:sz val="900"/>
        <x:color rgb="FF24323D"/>
        <x:rFont val="Linux Libertine G"/>
        <x:family val="2"/>
      </x:rPr>
      <x:t xml:space="preserve">修复审计发现且不启动 </x:t>
    </x:r>
    <x:r>
      <x:rPr>
        <x:sz val="900"/>
        <x:color rgb="FF24323D"/>
        <x:rFont val="Hiragino Sans GB"/>
      </x:rPr>
      <x:t xml:space="preserve">V4/V5</x:t>
    </x:r>
  </x:si>
  <x:si>
    <x:t xml:space="preserve">0.3.0-review3-hold</x:t>
  </x:si>
  <x:si>
    <x:r>
      <x:rPr>
        <x:sz val="900"/>
        <x:color rgb="FF24323D"/>
        <x:rFont val="Hiragino Sans GB"/>
      </x:rPr>
      <x:t xml:space="preserve">PLAN-REPAIR-002 </x:t>
    </x:r>
    <x:r>
      <x:rPr>
        <x:sz val="900"/>
        <x:color rgb="FF24323D"/>
        <x:rFont val="Linux Libertine G"/>
        <x:family val="2"/>
      </x:rPr>
      <x:t xml:space="preserve">修复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控制与字体覆盖</x:t>
    </x:r>
  </x:si>
  <x:si>
    <x:r>
      <x:rPr>
        <x:sz val="900"/>
        <x:color rgb="FF24323D"/>
        <x:rFont val="Linux Libertine G"/>
        <x:family val="2"/>
      </x:rPr>
      <x:t xml:space="preserve">消除 </x:t>
    </x:r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冻结循环；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展开真实 </x:t>
    </x:r>
    <x:r>
      <x:rPr>
        <x:sz val="900"/>
        <x:color rgb="FF24323D"/>
        <x:rFont val="Hiragino Sans GB"/>
      </x:rPr>
      <x:t xml:space="preserve">Task/Test ID</x:t>
    </x:r>
    <x:r>
      <x:rPr>
        <x:sz val="900"/>
        <x:color rgb="FF24323D"/>
        <x:rFont val="Linux Libertine G"/>
        <x:family val="2"/>
      </x:rPr>
      <x:t xml:space="preserve">；增加 </x:t>
    </x:r>
    <x:r>
      <x:rPr>
        <x:sz val="900"/>
        <x:color rgb="FF24323D"/>
        <x:rFont val="Hiragino Sans GB"/>
      </x:rPr>
      <x:t xml:space="preserve">Gate </x:t>
    </x:r>
    <x:r>
      <x:rPr>
        <x:sz val="900"/>
        <x:color rgb="FF24323D"/>
        <x:rFont val="Linux Libertine G"/>
        <x:family val="2"/>
      </x:rPr>
      <x:t xml:space="preserve">双向索引；规划需求改挂规划任务；全表中文字体覆盖</x:t>
    </x:r>
  </x:si>
  <x:si>
    <x:r>
      <x:rPr>
        <x:sz val="900"/>
        <x:color rgb="FF24323D"/>
        <x:rFont val="Linux Libertine G"/>
        <x:family val="2"/>
      </x:rPr>
      <x:t xml:space="preserve">保持 </x:t>
    </x:r>
    <x:r>
      <x:rPr>
        <x:sz val="900"/>
        <x:color rgb="FF24323D"/>
        <x:rFont val="Hiragino Sans GB"/>
      </x:rPr>
      <x:t xml:space="preserve">V4-P5 HOLD</x:t>
    </x:r>
    <x:r>
      <x:rPr>
        <x:sz val="900"/>
        <x:color rgb="FF24323D"/>
        <x:rFont val="Linux Libertine G"/>
        <x:family val="2"/>
      </x:rPr>
      <x:t xml:space="preserve">，不启动 </x:t>
    </x:r>
    <x:r>
      <x:rPr>
        <x:sz val="900"/>
        <x:color rgb="FF24323D"/>
        <x:rFont val="Hiragino Sans GB"/>
      </x:rPr>
      <x:t xml:space="preserve">V5</x:t>
    </x:r>
  </x:si>
  <x:si>
    <x:t xml:space="preserve">0.4.0-state-sync-001</x:t>
  </x:si>
  <x:si>
    <x:r>
      <x:rPr>
        <x:sz val="900"/>
        <x:color rgb="FF24323D"/>
        <x:rFont val="Hiragino Sans GB"/>
      </x:rPr>
      <x:t xml:space="preserve">PLAN-STATE-SYNC-001 </x:t>
    </x:r>
    <x:r>
      <x:rPr>
        <x:sz val="900"/>
        <x:color rgb="FF24323D"/>
        <x:rFont val="Linux Libertine G"/>
        <x:family val="2"/>
      </x:rPr>
      <x:t xml:space="preserve">同步用户接受决定</x:t>
    </x:r>
  </x:si>
  <x:si>
    <x:r>
      <x:rPr>
        <x:sz val="900"/>
        <x:color rgb="FF24323D"/>
        <x:rFont val="Hiragino Sans GB"/>
      </x:rPr>
      <x:t xml:space="preserve">PLAN-REPAIR-002→VERIFIED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RVW-PLAN-003→USER_ACCEPTED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V4-G0→VERIFIED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V4-P5-T001→</x:t>
    </x:r>
    <x:r>
      <x:rPr>
        <x:sz val="900"/>
        <x:color rgb="FF24323D"/>
        <x:rFont val="Linux Libertine G"/>
        <x:family val="2"/>
      </x:rPr>
      <x:t xml:space="preserve">唯一 </x:t>
    </x:r>
    <x:r>
      <x:rPr>
        <x:sz val="900"/>
        <x:color rgb="FF24323D"/>
        <x:rFont val="Hiragino Sans GB"/>
      </x:rPr>
      <x:t xml:space="preserve">READY</x:t>
    </x:r>
  </x:si>
  <x:si>
    <x:r>
      <x:rPr>
        <x:sz val="900"/>
        <x:color rgb="FF24323D"/>
        <x:rFont val="Linux Libertine G"/>
        <x:family val="2"/>
      </x:rPr>
      <x:t xml:space="preserve">只开放下一轮独立技术复查；不执行 </x:t>
    </x:r>
    <x:r>
      <x:rPr>
        <x:sz val="900"/>
        <x:color rgb="FF24323D"/>
        <x:rFont val="Hiragino Sans GB"/>
      </x:rPr>
      <x:t xml:space="preserve">V4</x:t>
    </x:r>
    <x:r>
      <x:rPr>
        <x:sz val="900"/>
        <x:color rgb="FF24323D"/>
        <x:rFont val="Linux Libertine G"/>
        <x:family val="2"/>
      </x:rPr>
      <x:t xml:space="preserve">、不冻结 </x:t>
    </x:r>
    <x:r>
      <x:rPr>
        <x:sz val="900"/>
        <x:color rgb="FF24323D"/>
        <x:rFont val="Hiragino Sans GB"/>
      </x:rPr>
      <x:t xml:space="preserve">V4</x:t>
    </x:r>
    <x:r>
      <x:rPr>
        <x:sz val="900"/>
        <x:color rgb="FF24323D"/>
        <x:rFont val="Linux Libertine G"/>
        <x:family val="2"/>
      </x:rPr>
      <x:t xml:space="preserve">、不启动 </x:t>
    </x:r>
    <x:r>
      <x:rPr>
        <x:sz val="900"/>
        <x:color rgb="FF24323D"/>
        <x:rFont val="Hiragino Sans GB"/>
      </x:rPr>
      <x:t xml:space="preserve">V5</x:t>
    </x:r>
  </x:si>
  <x:si>
    <x:t xml:space="preserve">0.7.0-v5-p0-p1-implementation-001</x:t>
  </x:si>
  <x:si>
    <x:r>
      <x:rPr>
        <x:sz val="1000"/>
        <x:color rgb="FF000000"/>
        <x:rFont val="Linux Libertine G"/>
        <x:family val="2"/>
      </x:rPr>
      <x:t xml:space="preserve">实现 </x:t>
    </x:r>
    <x:r>
      <x:rPr>
        <x:sz val="1000"/>
        <x:color rgb="FF000000"/>
        <x:rFont val="Arial"/>
        <x:family val="2"/>
      </x:rPr>
      <x:t xml:space="preserve">V5 P0 </x:t>
    </x:r>
    <x:r>
      <x:rPr>
        <x:sz val="1000"/>
        <x:color rgb="FF000000"/>
        <x:rFont val="Linux Libertine G"/>
        <x:family val="2"/>
      </x:rPr>
      <x:t xml:space="preserve">基线合同与 </x:t>
    </x:r>
    <x:r>
      <x:rPr>
        <x:sz val="1000"/>
        <x:color rgb="FF000000"/>
        <x:rFont val="Arial"/>
        <x:family val="2"/>
      </x:rPr>
      <x:t xml:space="preserve">P1 </x:t>
    </x:r>
    <x:r>
      <x:rPr>
        <x:sz val="1000"/>
        <x:color rgb="FF000000"/>
        <x:rFont val="Linux Libertine G"/>
        <x:family val="2"/>
      </x:rPr>
      <x:t xml:space="preserve">单兵种驻军首切片</x:t>
    </x:r>
  </x:si>
  <x:si>
    <x:r>
      <x:rPr>
        <x:sz val="1000"/>
        <x:color rgb="FF000000"/>
        <x:rFont val="Arial"/>
        <x:family val="2"/>
      </x:rPr>
      <x:t xml:space="preserve">V5-P0/P1→IMPLEMENTED_PENDING_REVIEW</x:t>
    </x:r>
    <x:r>
      <x:rPr>
        <x:sz val="1000"/>
        <x:color rgb="FF000000"/>
        <x:rFont val="Linux Libertine G"/>
        <x:family val="2"/>
      </x:rPr>
      <x:t xml:space="preserve">；</x:t>
    </x:r>
    <x:r>
      <x:rPr>
        <x:sz val="1000"/>
        <x:color rgb="FF000000"/>
        <x:rFont val="Arial"/>
        <x:family val="2"/>
      </x:rPr>
      <x:t xml:space="preserve">V5-G0/G1/G2→IMPLEMENTED_PENDING_REVIEW</x:t>
    </x:r>
    <x:r>
      <x:rPr>
        <x:sz val="1000"/>
        <x:color rgb="FF000000"/>
        <x:rFont val="Linux Libertine G"/>
        <x:family val="2"/>
      </x:rPr>
      <x:t xml:space="preserve">；</x:t>
    </x:r>
    <x:r>
      <x:rPr>
        <x:sz val="1000"/>
        <x:color rgb="FF000000"/>
        <x:rFont val="Arial"/>
        <x:family val="2"/>
      </x:rPr>
      <x:t xml:space="preserve">V5→IN_PROGRESS</x:t>
    </x:r>
  </x:si>
  <x:si>
    <x:r>
      <x:rPr>
        <x:sz val="1000"/>
        <x:color rgb="FF000000"/>
        <x:rFont val="Linux Libertine G"/>
        <x:family val="2"/>
      </x:rPr>
      <x:t xml:space="preserve">形成可运行、可观察的驻军</x:t>
    </x:r>
    <x:r>
      <x:rPr>
        <x:sz val="1000"/>
        <x:color rgb="FF000000"/>
        <x:rFont val="Arial"/>
        <x:family val="2"/>
      </x:rPr>
      <x:t xml:space="preserve">/</x:t>
    </x:r>
    <x:r>
      <x:rPr>
        <x:sz val="1000"/>
        <x:color rgb="FF000000"/>
        <x:rFont val="Linux Libertine G"/>
        <x:family val="2"/>
      </x:rPr>
      <x:t xml:space="preserve">可派 </x:t>
    </x:r>
    <x:r>
      <x:rPr>
        <x:sz val="1000"/>
        <x:color rgb="FF000000"/>
        <x:rFont val="Arial"/>
        <x:family val="2"/>
      </x:rPr>
      <x:t xml:space="preserve">UI </x:t>
    </x:r>
    <x:r>
      <x:rPr>
        <x:sz val="1000"/>
        <x:color rgb="FF000000"/>
        <x:rFont val="Linux Libertine G"/>
        <x:family val="2"/>
      </x:rPr>
      <x:t xml:space="preserve">与唯一驻军源，同时保持 </x:t>
    </x:r>
    <x:r>
      <x:rPr>
        <x:sz val="1000"/>
        <x:color rgb="FF000000"/>
        <x:rFont val="Arial"/>
        <x:family val="2"/>
      </x:rPr>
      <x:t xml:space="preserve">S1A.2 </x:t>
    </x:r>
    <x:r>
      <x:rPr>
        <x:sz val="1000"/>
        <x:color rgb="FF000000"/>
        <x:rFont val="Linux Libertine G"/>
        <x:family val="2"/>
      </x:rPr>
      <x:t xml:space="preserve">隔离</x:t>
    </x:r>
  </x:si>
  <x:si>
    <x:t xml:space="preserve">TXWZS_V5_SINGLE_UNIT_GARRISON_SLICE_001</x:t>
  </x:si>
  <x:si>
    <x:t xml:space="preserve">禁止范围与保护</x:t>
  </x:si>
  <x:si>
    <x:t xml:space="preserve">任何实现任务开始前先核对此表；未知修改、迁移、依赖或不可逆操作触发停止。</x:t>
  </x:si>
  <x:si>
    <x:t xml:space="preserve">Scope</x:t>
  </x:si>
  <x:si>
    <x:t xml:space="preserve">Protected / Forbidden</x:t>
  </x:si>
  <x:si>
    <x:t xml:space="preserve">Verification</x:t>
  </x:si>
  <x:si>
    <x:t xml:space="preserve">Authority</x:t>
  </x:si>
  <x:si>
    <x:r>
      <x:rPr>
        <x:sz val="900"/>
        <x:color rgb="FF24323D"/>
        <x:rFont val="Linux Libertine G"/>
        <x:family val="2"/>
      </x:rPr>
      <x:t xml:space="preserve">用户任务 </x:t>
    </x:r>
    <x:r>
      <x:rPr>
        <x:sz val="900"/>
        <x:color rgb="FF24323D"/>
        <x:rFont val="Hiragino Sans GB"/>
      </x:rPr>
      <x:t xml:space="preserve">+ AGENTS</x:t>
    </x:r>
  </x:si>
  <x:si>
    <x:t xml:space="preserve">S1A.2</x:t>
  </x:si>
  <x:si>
    <x:r>
      <x:rPr>
        <x:sz val="900"/>
        <x:color rgb="FF24323D"/>
        <x:rFont val="Linux Libertine G"/>
        <x:family val="2"/>
      </x:rPr>
      <x:t xml:space="preserve">八个 </x:t>
    </x:r>
    <x:r>
      <x:rPr>
        <x:sz val="900"/>
        <x:color rgb="FF24323D"/>
        <x:rFont val="Hiragino Sans GB"/>
      </x:rPr>
      <x:t xml:space="preserve">untracked </x:t>
    </x:r>
    <x:r>
      <x:rPr>
        <x:sz val="900"/>
        <x:color rgb="FF24323D"/>
        <x:rFont val="Linux Libertine G"/>
        <x:family val="2"/>
      </x:rPr>
      <x:t xml:space="preserve">文件哈希必须保持不变</x:t>
    </x:r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</x:si>
  <x:si>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已冻结；不得在 </x:t>
    </x:r>
    <x:r>
      <x:rPr>
        <x:sz val="900"/>
        <x:color rgb="FF24323D"/>
        <x:rFont val="Hiragino Sans GB"/>
      </x:rPr>
      <x:t xml:space="preserve">frozen candidate </x:t>
    </x:r>
    <x:r>
      <x:rPr>
        <x:sz val="900"/>
        <x:color rgb="FF24323D"/>
        <x:rFont val="Linux Libertine G"/>
        <x:family val="2"/>
      </x:rPr>
      <x:t xml:space="preserve">上继续叠加普通修改</x:t>
    </x:r>
  </x:si>
  <x:si>
    <x:r>
      <x:rPr>
        <x:sz val="900"/>
        <x:color rgb="FF24323D"/>
        <x:rFont val="Linux Libertine G"/>
        <x:family val="2"/>
      </x:rPr>
      <x:t xml:space="preserve">后续只通过已登记 </x:t>
    </x:r>
    <x:r>
      <x:rPr>
        <x:sz val="900"/>
        <x:color rgb="FF24323D"/>
        <x:rFont val="Hiragino Sans GB"/>
      </x:rPr>
      <x:t xml:space="preserve">V5/V6 adapter </x:t>
    </x:r>
    <x:r>
      <x:rPr>
        <x:sz val="900"/>
        <x:color rgb="FF24323D"/>
        <x:rFont val="Linux Libertine G"/>
        <x:family val="2"/>
      </x:rPr>
      <x:t xml:space="preserve">连接权威状态</x:t>
    </x:r>
  </x:si>
  <x:si>
    <x:r>
      <x:rPr>
        <x:sz val="900"/>
        <x:color rgb="FF24323D"/>
        <x:rFont val="Hiragino Sans GB"/>
      </x:rPr>
      <x:t xml:space="preserve">V4-G0</x:t>
    </x:r>
    <x:r>
      <x:rPr>
        <x:sz val="900"/>
        <x:color rgb="FF24323D"/>
        <x:rFont val="Linux Libertine G"/>
        <x:family val="2"/>
      </x:rPr>
      <x:t xml:space="preserve">～</x:t>
    </x:r>
    <x:r>
      <x:rPr>
        <x:sz val="900"/>
        <x:color rgb="FF24323D"/>
        <x:rFont val="Hiragino Sans GB"/>
      </x:rPr>
      <x:t xml:space="preserve">G6 VERIFIED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T-V4-003 PASS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local checkpoint</x:t>
    </x:r>
  </x:si>
  <x:si>
    <x:t xml:space="preserve">User + AGENTS</x:t>
  </x:si>
  <x:si>
    <x:t xml:space="preserve">Git</x:t>
  </x:si>
  <x:si>
    <x:t xml:space="preserve">staged diff + git diff --check + protected status</x:t>
  </x:si>
  <x:si>
    <x:r>
      <x:rPr>
        <x:sz val="900"/>
        <x:color rgb="FF24323D"/>
        <x:rFont val="Hiragino Sans GB"/>
      </x:rPr>
      <x:t xml:space="preserve">AGENTS + </x:t>
    </x:r>
    <x:r>
      <x:rPr>
        <x:sz val="900"/>
        <x:color rgb="FF24323D"/>
        <x:rFont val="Linux Libertine G"/>
        <x:family val="2"/>
      </x:rPr>
      <x:t xml:space="preserve">用户任务</x:t>
    </x:r>
  </x:si>
  <x:si>
    <x:t xml:space="preserve">持久数据</x:t>
  </x:si>
  <x:si>
    <x:t xml:space="preserve">不修改正式存档或生产数据</x:t>
  </x:si>
  <x:si>
    <x:t xml:space="preserve">当前无验收磁盘基线</x:t>
  </x:si>
  <x:si>
    <x:t xml:space="preserve">只读</x:t>
  </x:si>
  <x:si>
    <x:t xml:space="preserve">依赖</x:t>
  </x:si>
  <x:si>
    <x:r>
      <x:rPr>
        <x:sz val="900"/>
        <x:color rgb="FF24323D"/>
        <x:rFont val="Linux Libertine G"/>
        <x:family val="2"/>
      </x:rPr>
      <x:t xml:space="preserve">不安装 </x:t>
    </x:r>
    <x:r>
      <x:rPr>
        <x:sz val="900"/>
        <x:color rgb="FF24323D"/>
        <x:rFont val="Hiragino Sans GB"/>
      </x:rPr>
      <x:t xml:space="preserve">Skill/</x:t>
    </x:r>
    <x:r>
      <x:rPr>
        <x:sz val="900"/>
        <x:color rgb="FF24323D"/>
        <x:rFont val="Linux Libertine G"/>
        <x:family val="2"/>
      </x:rPr>
      <x:t xml:space="preserve">插件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包</x:t>
    </x:r>
  </x:si>
  <x:si>
    <x:r>
      <x:rPr>
        <x:sz val="900"/>
        <x:color rgb="FF24323D"/>
        <x:rFont val="Linux Libertine G"/>
        <x:family val="2"/>
      </x:rPr>
      <x:t xml:space="preserve">使用 </x:t>
    </x:r>
    <x:r>
      <x:rPr>
        <x:sz val="900"/>
        <x:color rgb="FF24323D"/>
        <x:rFont val="Hiragino Sans GB"/>
      </x:rPr>
      <x:t xml:space="preserve">bundled spreadsheet runtime</x:t>
    </x:r>
  </x:si>
  <x:si>
    <x:t xml:space="preserve">loader evidence</x:t>
  </x:si>
  <x:si>
    <x:t xml:space="preserve">远期规划</x:t>
  </x:si>
  <x:si>
    <x:r>
      <x:rPr>
        <x:sz val="900"/>
        <x:color rgb="FF24323D"/>
        <x:rFont val="Hiragino Sans GB"/>
      </x:rPr>
      <x:t xml:space="preserve">V7–V12 </x:t>
    </x:r>
    <x:r>
      <x:rPr>
        <x:sz val="900"/>
        <x:color rgb="FF24323D"/>
        <x:rFont val="Linux Libertine G"/>
        <x:family val="2"/>
      </x:rPr>
      <x:t xml:space="preserve">不伪造数值和文件名</x:t>
    </x:r>
  </x:si>
  <x:si>
    <x:t xml:space="preserve">滚动式拆解</x:t>
  </x:si>
  <x:si>
    <x:t xml:space="preserve">阶段开工前刷新</x:t>
  </x:si>
  <x:si>
    <x:t xml:space="preserve">权限边界</x:t>
  </x:si>
  <x:si>
    <x:r>
      <x:rPr>
        <x:sz val="900"/>
        <x:color rgb="FF24323D"/>
        <x:rFont val="Hiragino Sans GB"/>
      </x:rPr>
      <x:t xml:space="preserve">push/</x:t>
    </x:r>
    <x:r>
      <x:rPr>
        <x:sz val="900"/>
        <x:color rgb="FF24323D"/>
        <x:rFont val="Linux Libertine G"/>
        <x:family val="2"/>
      </x:rPr>
      <x:t xml:space="preserve">发布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部署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远端仓库创建需用户明确授权</x:t>
    </x:r>
  </x:si>
  <x:si>
    <x:t xml:space="preserve">长期收尾协议</x:t>
  </x:si>
  <x:si>
    <x:t xml:space="preserve">每阶段门检查</x:t>
  </x:si>
  <x:si>
    <x:t xml:space="preserve">AGENTS</x:t>
  </x:si>
  <x:si>
    <x:t xml:space="preserve">独立复查</x:t>
  </x:si>
  <x:si>
    <x:r>
      <x:rPr>
        <x:sz val="900"/>
        <x:color rgb="FF24323D"/>
        <x:rFont val="Linux Libertine G"/>
        <x:family val="2"/>
      </x:rPr>
      <x:t xml:space="preserve">必须记录 </x:t>
    </x:r>
    <x:r>
      <x:rPr>
        <x:sz val="900"/>
        <x:color rgb="FF24323D"/>
        <x:rFont val="Hiragino Sans GB"/>
      </x:rPr>
      <x:t xml:space="preserve">reviewer task identity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reviewed baseline/patch/hash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finding </x:t>
    </x:r>
    <x:r>
      <x:rPr>
        <x:sz val="900"/>
        <x:color rgb="FF24323D"/>
        <x:rFont val="Linux Libertine G"/>
        <x:family val="2"/>
      </x:rPr>
      <x:t xml:space="preserve">处置与 </x:t>
    </x:r>
    <x:r>
      <x:rPr>
        <x:sz val="900"/>
        <x:color rgb="FF24323D"/>
        <x:rFont val="Hiragino Sans GB"/>
      </x:rPr>
      <x:t xml:space="preserve">re-review</x:t>
    </x:r>
    <x:r>
      <x:rPr>
        <x:sz val="900"/>
        <x:color rgb="FF24323D"/>
        <x:rFont val="Linux Libertine G"/>
        <x:family val="2"/>
      </x:rPr>
      <x:t xml:space="preserve">；实现者不得自审通过</x:t>
    </x:r>
  </x:si>
  <x:si>
    <x:r>
      <x:rPr>
        <x:sz val="900"/>
        <x:color rgb="FF24323D"/>
        <x:rFont val="Hiragino Sans GB"/>
      </x:rPr>
      <x:t xml:space="preserve">G5 </x:t>
    </x:r>
    <x:r>
      <x:rPr>
        <x:sz val="900"/>
        <x:color rgb="FF24323D"/>
        <x:rFont val="Linux Libertine G"/>
        <x:family val="2"/>
      </x:rPr>
      <x:t xml:space="preserve">门</x:t>
    </x:r>
  </x:si>
  <x:si>
    <x:r>
      <x:rPr>
        <x:sz val="900"/>
        <x:color rgb="FF24323D"/>
        <x:rFont val="Hiragino Sans GB"/>
      </x:rPr>
      <x:t xml:space="preserve">review </x:t>
    </x:r>
    <x:r>
      <x:rPr>
        <x:sz val="900"/>
        <x:color rgb="FF24323D"/>
        <x:rFont val="Linux Libertine G"/>
        <x:family val="2"/>
      </x:rPr>
      <x:t xml:space="preserve">表 </x:t>
    </x:r>
    <x:r>
      <x:rPr>
        <x:sz val="900"/>
        <x:color rgb="FF24323D"/>
        <x:rFont val="Hiragino Sans GB"/>
      </x:rPr>
      <x:t xml:space="preserve">+ review </x:t>
    </x:r>
    <x:r>
      <x:rPr>
        <x:sz val="900"/>
        <x:color rgb="FF24323D"/>
        <x:rFont val="Linux Libertine G"/>
        <x:family val="2"/>
      </x:rPr>
      <x:t xml:space="preserve">报告</x:t>
    </x:r>
  </x:si>
  <x:si>
    <x:t xml:space="preserve">独立审查意见</x:t>
  </x:si>
  <x:si>
    <x:t xml:space="preserve">数据对象与所有权</x:t>
  </x:si>
  <x:si>
    <x:t xml:space="preserve">规划名称不等于已实现。当前实现、未来职责和迁移需求严格分开。</x:t>
  </x:si>
  <x:si>
    <x:t xml:space="preserve">对象／状态</x:t>
  </x:si>
  <x:si>
    <x:t xml:space="preserve">当前实现位置</x:t>
  </x:si>
  <x:si>
    <x:t xml:space="preserve">当前所有者</x:t>
  </x:si>
  <x:si>
    <x:t xml:space="preserve">当前生命周期</x:t>
  </x:si>
  <x:si>
    <x:t xml:space="preserve">当前持久化</x:t>
  </x:si>
  <x:si>
    <x:t xml:space="preserve">未来职责</x:t>
  </x:si>
  <x:si>
    <x:t xml:space="preserve">单一事实来源</x:t>
  </x:si>
  <x:si>
    <x:t xml:space="preserve">允许读写者</x:t>
  </x:si>
  <x:si>
    <x:t xml:space="preserve">迁移需求</x:t>
  </x:si>
  <x:si>
    <x:t xml:space="preserve">未确认问题</x:t>
  </x:si>
  <x:si>
    <x:t xml:space="preserve">实现状态</x:t>
  </x:si>
  <x:si>
    <x:t xml:space="preserve">ConstructionController</x:t>
  </x:si>
  <x:si>
    <x:t xml:space="preserve">scripts/construction_controller.gd</x:t>
  </x:si>
  <x:si>
    <x:t xml:space="preserve">城市运行时适配权威</x:t>
  </x:si>
  <x:si>
    <x:t xml:space="preserve">进程内主场景生命周期</x:t>
  </x:si>
  <x:si>
    <x:r>
      <x:rPr>
        <x:sz val="900"/>
        <x:color rgb="FF24323D"/>
        <x:rFont val="Linux Libertine G"/>
        <x:family val="2"/>
      </x:rPr>
      <x:t xml:space="preserve">内存；</x:t>
    </x:r>
    <x:r>
      <x:rPr>
        <x:sz val="900"/>
        <x:color rgb="FF24323D"/>
        <x:rFont val="Hiragino Sans GB"/>
      </x:rPr>
      <x:t xml:space="preserve">EarlyCitySnapshotV1 </x:t>
    </x:r>
    <x:r>
      <x:rPr>
        <x:sz val="900"/>
        <x:color rgb="FF24323D"/>
        <x:rFont val="Linux Libertine G"/>
        <x:family val="2"/>
      </x:rPr>
      <x:t xml:space="preserve">可导出</x:t>
    </x:r>
  </x:si>
  <x:si>
    <x:r>
      <x:rPr>
        <x:sz val="900"/>
        <x:color rgb="FF24323D"/>
        <x:rFont val="Linux Libertine G"/>
        <x:family val="2"/>
      </x:rPr>
      <x:t xml:space="preserve">继续作为 </x:t>
    </x:r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唯一城市写入入口，是否拆分需后续 </x:t>
    </x:r>
    <x:r>
      <x:rPr>
        <x:sz val="900"/>
        <x:color rgb="FF24323D"/>
        <x:rFont val="Hiragino Sans GB"/>
      </x:rPr>
      <x:t xml:space="preserve">ADR</x:t>
    </x:r>
  </x:si>
  <x:si>
    <x:r>
      <x:rPr>
        <x:sz val="900"/>
        <x:color rgb="FF24323D"/>
        <x:rFont val="Linux Libertine G"/>
        <x:family val="2"/>
      </x:rPr>
      <x:t xml:space="preserve">城市资源、日期、</x:t>
    </x:r>
    <x:r>
      <x:rPr>
        <x:sz val="900"/>
        <x:color rgb="FF24323D"/>
        <x:rFont val="Hiragino Sans GB"/>
      </x:rPr>
      <x:t xml:space="preserve">placement</x:t>
    </x:r>
    <x:r>
      <x:rPr>
        <x:sz val="900"/>
        <x:color rgb="FF24323D"/>
        <x:rFont val="Linux Libertine G"/>
        <x:family val="2"/>
      </x:rPr>
      <x:t xml:space="preserve">、现有兵力与事务</x:t>
    </x:r>
  </x:si>
  <x:si>
    <x:r>
      <x:rPr>
        <x:sz val="900"/>
        <x:color rgb="FF24323D"/>
        <x:rFont val="Hiragino Sans GB"/>
      </x:rPr>
      <x:t xml:space="preserve">UI/</x:t>
    </x:r>
    <x:r>
      <x:rPr>
        <x:sz val="900"/>
        <x:color rgb="FF24323D"/>
        <x:rFont val="Linux Libertine G"/>
        <x:family val="2"/>
      </x:rPr>
      <x:t xml:space="preserve">战斗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地图只经公开入口读写</x:t>
    </x:r>
  </x:si>
  <x:si>
    <x:t xml:space="preserve">未来渐进迁移，不复制</x:t>
  </x:si>
  <x:si>
    <x:r>
      <x:rPr>
        <x:sz val="900"/>
        <x:color rgb="FF24323D"/>
        <x:rFont val="Linux Libertine G"/>
        <x:family val="2"/>
      </x:rPr>
      <x:t xml:space="preserve">当前类 </x:t>
    </x:r>
    <x:r>
      <x:rPr>
        <x:sz val="900"/>
        <x:color rgb="FF24323D"/>
        <x:rFont val="Hiragino Sans GB"/>
      </x:rPr>
      <x:t xml:space="preserve">3000+ </x:t>
    </x:r>
    <x:r>
      <x:rPr>
        <x:sz val="900"/>
        <x:color rgb="FF24323D"/>
        <x:rFont val="Linux Libertine G"/>
        <x:family val="2"/>
      </x:rPr>
      <x:t xml:space="preserve">行，需窄接口而非大重写</x:t>
    </x:r>
  </x:si>
  <x:si>
    <x:t xml:space="preserve">已实现</x:t>
  </x:si>
  <x:si>
    <x:t xml:space="preserve">EarlyCitySnapshotV1</x:t>
  </x:si>
  <x:si>
    <x:t xml:space="preserve">scripts/state/early_city_snapshot_v1.gd</x:t>
  </x:si>
  <x:si>
    <x:t xml:space="preserve">无状态校验器</x:t>
  </x:si>
  <x:si>
    <x:r>
      <x:rPr>
        <x:sz val="900"/>
        <x:color rgb="FF24323D"/>
        <x:rFont val="Linux Libertine G"/>
        <x:family val="2"/>
      </x:rPr>
      <x:t xml:space="preserve">调用期 </x:t>
    </x:r>
    <x:r>
      <x:rPr>
        <x:sz val="900"/>
        <x:color rgb="FF24323D"/>
        <x:rFont val="Hiragino Sans GB"/>
      </x:rPr>
      <x:t xml:space="preserve">RefCounted</x:t>
    </x:r>
  </x:si>
  <x:si>
    <x:r>
      <x:rPr>
        <x:sz val="900"/>
        <x:color rgb="FF24323D"/>
        <x:rFont val="Hiragino Sans GB"/>
      </x:rPr>
      <x:t xml:space="preserve">schema_version=1 </x:t>
    </x:r>
    <x:r>
      <x:rPr>
        <x:sz val="900"/>
        <x:color rgb="FF24323D"/>
        <x:rFont val="Linux Libertine G"/>
        <x:family val="2"/>
      </x:rPr>
      <x:t xml:space="preserve">内存快照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</x:si>
  <x:si>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迁移输入基线</x:t>
    </x:r>
  </x:si>
  <x:si>
    <x:t xml:space="preserve">早期城市源字段</x:t>
  </x:si>
  <x:si>
    <x:t xml:space="preserve">validator/controller</x:t>
  </x:si>
  <x:si>
    <x:r>
      <x:rPr>
        <x:sz val="900"/>
        <x:color rgb="FF24323D"/>
        <x:rFont val="Linux Libertine G"/>
        <x:family val="2"/>
      </x:rPr>
      <x:t xml:space="preserve">需新增 </x:t>
    </x:r>
    <x:r>
      <x:rPr>
        <x:sz val="900"/>
        <x:color rgb="FF24323D"/>
        <x:rFont val="Hiragino Sans GB"/>
      </x:rPr>
      <x:t xml:space="preserve">V5 schema/migration</x:t>
    </x:r>
  </x:si>
  <x:si>
    <x:t xml:space="preserve">不含战斗、磁盘、外城</x:t>
  </x:si>
  <x:si>
    <x:r>
      <x:rPr>
        <x:sz val="900"/>
        <x:color rgb="FF24323D"/>
        <x:rFont val="Linux Libertine G"/>
        <x:family val="2"/>
      </x:rPr>
      <x:t xml:space="preserve">已实现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已验收</x:t>
    </x:r>
  </x:si>
  <x:si>
    <x:t xml:space="preserve">EarlyCitySaveStoreV1 / DiskCodecV1</x:t>
  </x:si>
  <x:si>
    <x:t xml:space="preserve">UnitRole</x:t>
  </x:si>
  <x:si>
    <x:t xml:space="preserve">scripts/content/unit_role.gd + infantry_basic.tres</x:t>
  </x:si>
  <x:si>
    <x:t xml:space="preserve">静态步兵角色定义</x:t>
  </x:si>
  <x:si>
    <x:r>
      <x:rPr>
        <x:sz val="900"/>
        <x:color rgb="FF24323D"/>
        <x:rFont val="Hiragino Sans GB"/>
      </x:rPr>
      <x:t xml:space="preserve">Resource </x:t>
    </x:r>
    <x:r>
      <x:rPr>
        <x:sz val="900"/>
        <x:color rgb="FF24323D"/>
        <x:rFont val="Linux Libertine G"/>
        <x:family val="2"/>
      </x:rPr>
      <x:t xml:space="preserve">生命周期</x:t>
    </x:r>
  </x:si>
  <x:si>
    <x:t xml:space="preserve">资源文件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</x:si>
  <x:si>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评估是否演进为 </x:t>
    </x:r>
    <x:r>
      <x:rPr>
        <x:sz val="900"/>
        <x:color rgb="FF24323D"/>
        <x:rFont val="Hiragino Sans GB"/>
      </x:rPr>
      <x:t xml:space="preserve">UnitDefinition </x:t>
    </x:r>
    <x:r>
      <x:rPr>
        <x:sz val="900"/>
        <x:color rgb="FF24323D"/>
        <x:rFont val="Linux Libertine G"/>
        <x:family val="2"/>
      </x:rPr>
      <x:t xml:space="preserve">或窄适配</x:t>
    </x:r>
  </x:si>
  <x:si>
    <x:r>
      <x:rPr>
        <x:sz val="900"/>
        <x:color rgb="FF24323D"/>
        <x:rFont val="Linux Libertine G"/>
        <x:family val="2"/>
      </x:rPr>
      <x:t xml:space="preserve">攻击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防御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维护等静态字段</x:t>
    </x:r>
  </x:si>
  <x:si>
    <x:t xml:space="preserve">ConstructionController/Battle snapshots</x:t>
  </x:si>
  <x:si>
    <x:r>
      <x:rPr>
        <x:sz val="900"/>
        <x:color rgb="FF24323D"/>
        <x:rFont val="Linux Libertine G"/>
        <x:family val="2"/>
      </x:rPr>
      <x:t xml:space="preserve">避免与新 </x:t>
    </x:r>
    <x:r>
      <x:rPr>
        <x:sz val="900"/>
        <x:color rgb="FF24323D"/>
        <x:rFont val="Hiragino Sans GB"/>
      </x:rPr>
      <x:t xml:space="preserve">UnitDefinition </x:t>
    </x:r>
    <x:r>
      <x:rPr>
        <x:sz val="900"/>
        <x:color rgb="FF24323D"/>
        <x:rFont val="Linux Libertine G"/>
        <x:family val="2"/>
      </x:rPr>
      <x:t xml:space="preserve">重复</x:t>
    </x:r>
  </x:si>
  <x:si>
    <x:r>
      <x:rPr>
        <x:sz val="900"/>
        <x:color rgb="FF24323D"/>
        <x:rFont val="Linux Libertine G"/>
        <x:family val="2"/>
      </x:rPr>
      <x:t xml:space="preserve">当前只有 </x:t>
    </x:r>
    <x:r>
      <x:rPr>
        <x:sz val="900"/>
        <x:color rgb="FF24323D"/>
        <x:rFont val="Hiragino Sans GB"/>
      </x:rPr>
      <x:t xml:space="preserve">infantry</x:t>
    </x:r>
  </x:si>
  <x:si>
    <x:r>
      <x:rPr>
        <x:sz val="900"/>
        <x:color rgb="FF24323D"/>
        <x:rFont val="Hiragino Sans GB"/>
      </x:rPr>
      <x:t xml:space="preserve">UnitDefinition</x:t>
    </x:r>
    <x:r>
      <x:rPr>
        <x:sz val="900"/>
        <x:color rgb="FF24323D"/>
        <x:rFont val="Linux Libertine G"/>
        <x:family val="2"/>
      </x:rPr>
      <x:t xml:space="preserve">（概念）</x:t>
    </x:r>
  </x:si>
  <x:si>
    <x:t xml:space="preserve">无</x:t>
  </x:si>
  <x:si>
    <x:t xml:space="preserve">未定义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</x:si>
  <x:si>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单兵种静态合同；必须先查重 </x:t>
    </x:r>
    <x:r>
      <x:rPr>
        <x:sz val="900"/>
        <x:color rgb="FF24323D"/>
        <x:rFont val="Hiragino Sans GB"/>
      </x:rPr>
      <x:t xml:space="preserve">UnitRole</x:t>
    </x:r>
  </x:si>
  <x:si>
    <x:r>
      <x:rPr>
        <x:sz val="900"/>
        <x:color rgb="FF24323D"/>
        <x:rFont val="Linux Libertine G"/>
        <x:family val="2"/>
      </x:rPr>
      <x:t xml:space="preserve">静态兵种身份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规则</x:t>
    </x:r>
  </x:si>
  <x:si>
    <x:t xml:space="preserve">训练、驻军、战斗只读</x:t>
  </x:si>
  <x:si>
    <x:t xml:space="preserve">阶段开始设计</x:t>
  </x:si>
  <x:si>
    <x:t xml:space="preserve">不要因规划名称直接建类</x:t>
  </x:si>
  <x:si>
    <x:t xml:space="preserve">尚未实现</x:t>
  </x:si>
  <x:si>
    <x:t xml:space="preserve">V4 garrisons</x:t>
  </x:si>
  <x:si>
    <x:t xml:space="preserve">blackstone_expedition_mvp.gd::_garrisons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</x:si>
  <x:si>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场景局部原型</x:t>
    </x:r>
  </x:si>
  <x:si>
    <x:t xml:space="preserve">单次挑战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</x:si>
  <x:si>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改为权威驻军投影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适配</x:t>
    </x:r>
  </x:si>
  <x:si>
    <x:t xml:space="preserve">节点驻军数量</x:t>
  </x:si>
  <x:si>
    <x:r>
      <x:rPr>
        <x:sz val="900"/>
        <x:color rgb="FF24323D"/>
        <x:rFont val="Hiragino Sans GB"/>
      </x:rPr>
      <x:t xml:space="preserve">V4 UI </x:t>
    </x:r>
    <x:r>
      <x:rPr>
        <x:sz val="900"/>
        <x:color rgb="FF24323D"/>
        <x:rFont val="Linux Libertine G"/>
        <x:family val="2"/>
      </x:rPr>
      <x:t xml:space="preserve">内部</x:t>
    </x:r>
  </x:si>
  <x:si>
    <x:r>
      <x:rPr>
        <x:sz val="900"/>
        <x:color rgb="FF24323D"/>
        <x:rFont val="Linux Libertine G"/>
        <x:family val="2"/>
      </x:rPr>
      <x:t xml:space="preserve">需要迁移到 </x:t>
    </x:r>
    <x:r>
      <x:rPr>
        <x:sz val="900"/>
        <x:color rgb="FF24323D"/>
        <x:rFont val="Hiragino Sans GB"/>
      </x:rPr>
      <x:t xml:space="preserve">V5 GarrisonState</x:t>
    </x:r>
  </x:si>
  <x:si>
    <x:t xml:space="preserve">不能成为持久城市真相</x:t>
  </x:si>
  <x:si>
    <x:t xml:space="preserve">未提交原型</x:t>
  </x:si>
  <x:si>
    <x:t xml:space="preserve">V4 marching armies</x:t>
  </x:si>
  <x:si>
    <x:t xml:space="preserve">blackstone_expedition_mvp.gd::_marching_armies</x:t>
  </x:si>
  <x:si>
    <x:r>
      <x:rPr>
        <x:sz val="900"/>
        <x:color rgb="FF24323D"/>
        <x:rFont val="Hiragino Sans GB"/>
      </x:rPr>
      <x:t xml:space="preserve">V4 </x:t>
    </x:r>
    <x:r>
      <x:rPr>
        <x:sz val="900"/>
        <x:color rgb="FF24323D"/>
        <x:rFont val="Linux Libertine G"/>
        <x:family val="2"/>
      </x:rPr>
      <x:t xml:space="preserve">场景脚本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</x:si>
  <x:si>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最小 </x:t>
    </x:r>
    <x:r>
      <x:rPr>
        <x:sz val="900"/>
        <x:color rgb="FF24323D"/>
        <x:rFont val="Hiragino Sans GB"/>
      </x:rPr>
      <x:t xml:space="preserve">ArmyState</x:t>
    </x:r>
    <x:r>
      <x:rPr>
        <x:sz val="900"/>
        <x:color rgb="FF24323D"/>
        <x:rFont val="Linux Libertine G"/>
        <x:family val="2"/>
      </x:rPr>
      <x:t xml:space="preserve">；</x:t>
    </x:r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持久集合</x:t>
    </x:r>
  </x:si>
  <x:si>
    <x:t xml:space="preserve">在途命令临时字典</x:t>
  </x:si>
  <x:si>
    <x:t xml:space="preserve">V4 UI</x:t>
  </x:si>
  <x:si>
    <x:r>
      <x:rPr>
        <x:sz val="900"/>
        <x:color rgb="FF24323D"/>
        <x:rFont val="Hiragino Sans GB"/>
      </x:rPr>
      <x:t xml:space="preserve">V5/V6 </x:t>
    </x:r>
    <x:r>
      <x:rPr>
        <x:sz val="900"/>
        <x:color rgb="FF24323D"/>
        <x:rFont val="Linux Libertine G"/>
        <x:family val="2"/>
      </x:rPr>
      <x:t xml:space="preserve">分阶段迁移</x:t>
    </x:r>
  </x:si>
  <x:si>
    <x:t xml:space="preserve">数组存在但逻辑只处理首项</x:t>
  </x:si>
  <x:si>
    <x:r>
      <x:rPr>
        <x:sz val="900"/>
        <x:color rgb="FF24323D"/>
        <x:rFont val="Hiragino Sans GB"/>
      </x:rPr>
      <x:t xml:space="preserve">ArmyState</x:t>
    </x:r>
    <x:r>
      <x:rPr>
        <x:sz val="900"/>
        <x:color rgb="FF24323D"/>
        <x:rFont val="Linux Libertine G"/>
        <x:family val="2"/>
      </x:rPr>
      <x:t xml:space="preserve">（概念）</x:t>
    </x:r>
  </x:si>
  <x:si>
    <x:r>
      <x:rPr>
        <x:sz val="900"/>
        <x:color rgb="FF24323D"/>
        <x:rFont val="Hiragino Sans GB"/>
      </x:rPr>
      <x:t xml:space="preserve">stable ID</x:t>
    </x:r>
    <x:r>
      <x:rPr>
        <x:sz val="900"/>
        <x:color rgb="FF24323D"/>
        <x:rFont val="Linux Libertine G"/>
        <x:family val="2"/>
      </x:rPr>
      <x:t xml:space="preserve">、兵种数量、稳定来源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目标</x:t>
    </x:r>
    <x:r>
      <x:rPr>
        <x:sz val="900"/>
        <x:color rgb="FF24323D"/>
        <x:rFont val="Hiragino Sans GB"/>
      </x:rPr>
      <x:t xml:space="preserve">/route ID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progress</x:t>
    </x:r>
    <x:r>
      <x:rPr>
        <x:sz val="900"/>
        <x:color rgb="FF24323D"/>
        <x:rFont val="Linux Libertine G"/>
        <x:family val="2"/>
      </x:rPr>
      <x:t xml:space="preserve">、阶段</x:t>
    </x:r>
  </x:si>
  <x:si>
    <x:t xml:space="preserve">战略命令、表现只读</x:t>
  </x:si>
  <x:si>
    <x:r>
      <x:rPr>
        <x:sz val="900"/>
        <x:color rgb="FF24323D"/>
        <x:rFont val="Hiragino Sans GB"/>
      </x:rPr>
      <x:t xml:space="preserve">BattleRequest→</x:t>
    </x:r>
    <x:r>
      <x:rPr>
        <x:sz val="900"/>
        <x:color rgb="FF24323D"/>
        <x:rFont val="Linux Libertine G"/>
        <x:family val="2"/>
      </x:rPr>
      <x:t xml:space="preserve">结果后销毁</x:t>
    </x:r>
  </x:si>
  <x:si>
    <x:t xml:space="preserve">不持久化</x:t>
  </x:si>
  <x:si>
    <x:r>
      <x:rPr>
        <x:sz val="900"/>
        <x:color rgb="FF24323D"/>
        <x:rFont val="Hiragino Sans GB"/>
      </x:rPr>
      <x:t xml:space="preserve">V7 </x:t>
    </x:r>
    <x:r>
      <x:rPr>
        <x:sz val="900"/>
        <x:color rgb="FF24323D"/>
        <x:rFont val="Linux Libertine G"/>
        <x:family val="2"/>
      </x:rPr>
      <x:t xml:space="preserve">遭遇、</x:t>
    </x:r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攻城可配置复用</x:t>
    </x:r>
  </x:si>
  <x:si>
    <x:r>
      <x:rPr>
        <x:sz val="900"/>
        <x:color rgb="FF24323D"/>
        <x:rFont val="Hiragino Sans GB"/>
      </x:rPr>
      <x:t xml:space="preserve">tick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squads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routes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orders</x:t>
    </x:r>
    <x:r>
      <x:rPr>
        <x:sz val="900"/>
        <x:color rgb="FF24323D"/>
        <x:rFont val="Linux Libertine G"/>
        <x:family val="2"/>
      </x:rPr>
      <x:t xml:space="preserve">、</x:t>
    </x:r>
    <x:r>
      <x:rPr>
        <x:sz val="900"/>
        <x:color rgb="FF24323D"/>
        <x:rFont val="Hiragino Sans GB"/>
      </x:rPr>
      <x:t xml:space="preserve">result</x:t>
    </x:r>
  </x:si>
  <x:si>
    <x:t xml:space="preserve">C0 coordinator/presentation</x:t>
  </x:si>
  <x:si>
    <x:r>
      <x:rPr>
        <x:sz val="900"/>
        <x:color rgb="FF24323D"/>
        <x:rFont val="Linux Libertine G"/>
        <x:family val="2"/>
      </x:rPr>
      <x:t xml:space="preserve">未来保存只持久结果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请求，不持久帧表现</x:t>
    </x:r>
  </x:si>
  <x:si>
    <x:r>
      <x:rPr>
        <x:sz val="900"/>
        <x:color rgb="FF24323D"/>
        <x:rFont val="Linux Libertine G"/>
        <x:family val="2"/>
      </x:rPr>
      <x:t xml:space="preserve">不得直接写城市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战略状态</x:t>
    </x:r>
  </x:si>
  <x:si>
    <x:r>
      <x:rPr>
        <x:sz val="900"/>
        <x:color rgb="FF24323D"/>
        <x:rFont val="Hiragino Sans GB"/>
      </x:rPr>
      <x:t xml:space="preserve">SiegeSession</x:t>
    </x:r>
    <x:r>
      <x:rPr>
        <x:sz val="900"/>
        <x:color rgb="FF24323D"/>
        <x:rFont val="Linux Libertine G"/>
        <x:family val="2"/>
      </x:rPr>
      <x:t xml:space="preserve">（概念）</x:t>
    </x:r>
  </x:si>
  <x:si>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判断是否 </x:t>
    </x:r>
    <x:r>
      <x:rPr>
        <x:sz val="900"/>
        <x:color rgb="FF24323D"/>
        <x:rFont val="Hiragino Sans GB"/>
      </x:rPr>
      <x:t xml:space="preserve">BattleSession specialization</x:t>
    </x:r>
    <x:r>
      <x:rPr>
        <x:sz val="900"/>
        <x:color rgb="FF24323D"/>
        <x:rFont val="Linux Libertine G"/>
        <x:family val="2"/>
      </x:rPr>
      <x:t xml:space="preserve">；不创建同义真相</x:t>
    </x:r>
  </x:si>
  <x:si>
    <x:t xml:space="preserve">围城实例事实</x:t>
  </x:si>
  <x:si>
    <x:r>
      <x:rPr>
        <x:sz val="900"/>
        <x:color rgb="FF24323D"/>
        <x:rFont val="Linux Libertine G"/>
        <x:family val="2"/>
      </x:rPr>
      <x:t xml:space="preserve">战略触发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战斗适配</x:t>
    </x:r>
  </x:si>
  <x:si>
    <x:r>
      <x:rPr>
        <x:sz val="900"/>
        <x:color rgb="FF24323D"/>
        <x:rFont val="Hiragino Sans GB"/>
      </x:rPr>
      <x:t xml:space="preserve">V8 </x:t>
    </x:r>
    <x:r>
      <x:rPr>
        <x:sz val="900"/>
        <x:color rgb="FF24323D"/>
        <x:rFont val="Linux Libertine G"/>
        <x:family val="2"/>
      </x:rPr>
      <x:t xml:space="preserve">开工再设计</x:t>
    </x:r>
  </x:si>
  <x:si>
    <x:t xml:space="preserve">当前不存在</x:t>
  </x:si>
  <x:si>
    <x:t xml:space="preserve">WorldMapPresentationModel</x:t>
  </x:si>
  <x:si>
    <x:t xml:space="preserve">scripts/world_map/world_map_presentation_model.gd</x:t>
  </x:si>
  <x:si>
    <x:r>
      <x:rPr>
        <x:sz val="900"/>
        <x:color rgb="FF24323D"/>
        <x:rFont val="Linux Libertine G"/>
        <x:family val="2"/>
      </x:rPr>
      <x:t xml:space="preserve">只读表现 </x:t>
    </x:r>
    <x:r>
      <x:rPr>
        <x:sz val="900"/>
        <x:color rgb="FF24323D"/>
        <x:rFont val="Hiragino Sans GB"/>
      </x:rPr>
      <x:t xml:space="preserve">fixture</x:t>
    </x:r>
  </x:si>
  <x:si>
    <x:t xml:space="preserve">世界地图场景</x:t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</x:si>
  <x:si>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读取持久外城状态；本身仍无写权</x:t>
    </x:r>
  </x:si>
  <x:si>
    <x:r>
      <x:rPr>
        <x:sz val="900"/>
        <x:color rgb="FF24323D"/>
        <x:rFont val="Linux Libertine G"/>
        <x:family val="2"/>
      </x:rPr>
      <x:t xml:space="preserve">固定地理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城市摘要 </x:t>
    </x:r>
    <x:r>
      <x:rPr>
        <x:sz val="900"/>
        <x:color rgb="FF24323D"/>
        <x:rFont val="Hiragino Sans GB"/>
      </x:rPr>
      <x:t xml:space="preserve">+ </x:t>
    </x:r>
    <x:r>
      <x:rPr>
        <x:sz val="900"/>
        <x:color rgb="FF24323D"/>
        <x:rFont val="Linux Libertine G"/>
        <x:family val="2"/>
      </x:rPr>
      <x:t xml:space="preserve">计划路线</x:t>
    </x:r>
  </x:si>
  <x:si>
    <x:t xml:space="preserve">WorldMapController</x:t>
  </x:si>
  <x:si>
    <x:t xml:space="preserve">由未来战略状态驱动</x:t>
  </x:si>
  <x:si>
    <x:r>
      <x:rPr>
        <x:sz val="900"/>
        <x:color rgb="FF24323D"/>
        <x:rFont val="Linux Libertine G"/>
        <x:family val="2"/>
      </x:rPr>
      <x:t xml:space="preserve">不是 </x:t>
    </x:r>
    <x:r>
      <x:rPr>
        <x:sz val="900"/>
        <x:color rgb="FF24323D"/>
        <x:rFont val="Hiragino Sans GB"/>
      </x:rPr>
      <x:t xml:space="preserve">WorldState</x:t>
    </x:r>
  </x:si>
  <x:si>
    <x:r>
      <x:rPr>
        <x:sz val="900"/>
        <x:color rgb="FF24323D"/>
        <x:rFont val="Linux Libertine G"/>
        <x:family val="2"/>
      </x:rPr>
      <x:t xml:space="preserve">已实现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只读</x:t>
    </x:r>
  </x:si>
  <x:si>
    <x:r>
      <x:rPr>
        <x:sz val="900"/>
        <x:color rgb="FF24323D"/>
        <x:rFont val="Hiragino Sans GB"/>
      </x:rPr>
      <x:t xml:space="preserve">WorldState / </x:t>
    </x:r>
    <x:r>
      <x:rPr>
        <x:sz val="900"/>
        <x:color rgb="FF24323D"/>
        <x:rFont val="Linux Libertine G"/>
        <x:family val="2"/>
      </x:rPr>
      <x:t xml:space="preserve">战略地图状态（概念）</x:t>
    </x:r>
  </x:si>
  <x:si>
    <x:t xml:space="preserve">无可写类</x:t>
  </x:si>
  <x:si>
    <x:r>
      <x:rPr>
        <x:sz val="900"/>
        <x:color rgb="FF24323D"/>
        <x:rFont val="Hiragino Sans GB"/>
      </x:rPr>
      <x:t xml:space="preserve">V6 </x:t>
    </x:r>
    <x:r>
      <x:rPr>
        <x:sz val="900"/>
        <x:color rgb="FF24323D"/>
        <x:rFont val="Linux Libertine G"/>
        <x:family val="2"/>
      </x:rPr>
      <x:t xml:space="preserve">最小外城持久状态；</x:t>
    </x:r>
    <x:r>
      <x:rPr>
        <x:sz val="900"/>
        <x:color rgb="FF24323D"/>
        <x:rFont val="Hiragino Sans GB"/>
      </x:rPr>
      <x:t xml:space="preserve">V9/V10 </x:t>
    </x:r>
    <x:r>
      <x:rPr>
        <x:sz val="900"/>
        <x:color rgb="FF24323D"/>
        <x:rFont val="Linux Libertine G"/>
        <x:family val="2"/>
      </x:rPr>
      <x:t xml:space="preserve">扩展</x:t>
    </x:r>
  </x:si>
  <x:si>
    <x:r>
      <x:rPr>
        <x:sz val="900"/>
        <x:color rgb="FF24323D"/>
        <x:rFont val="Linux Libertine G"/>
        <x:family val="2"/>
      </x:rPr>
      <x:t xml:space="preserve">节点归属、路线、</x:t>
    </x:r>
    <x:r>
      <x:rPr>
        <x:sz val="900"/>
        <x:color rgb="FF24323D"/>
        <x:rFont val="Hiragino Sans GB"/>
      </x:rPr>
      <x:t xml:space="preserve">ArmyState</x:t>
    </x:r>
    <x:r>
      <x:rPr>
        <x:sz val="900"/>
        <x:color rgb="FF24323D"/>
        <x:rFont val="Linux Libertine G"/>
        <x:family val="2"/>
      </x:rPr>
      <x:t xml:space="preserve">、行动事实</x:t>
    </x:r>
  </x:si>
  <x:si>
    <x:r>
      <x:rPr>
        <x:sz val="900"/>
        <x:color rgb="FF24323D"/>
        <x:rFont val="Linux Libertine G"/>
        <x:family val="2"/>
      </x:rPr>
      <x:t xml:space="preserve">战略命令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地图只读</x:t>
    </x:r>
  </x:si>
  <x:si>
    <x:r>
      <x:rPr>
        <x:sz val="900"/>
        <x:color rgb="FF24323D"/>
        <x:rFont val="Hiragino Sans GB"/>
      </x:rPr>
      <x:t xml:space="preserve">V6 schema </x:t>
    </x:r>
    <x:r>
      <x:rPr>
        <x:sz val="900"/>
        <x:color rgb="FF24323D"/>
        <x:rFont val="Linux Libertine G"/>
        <x:family val="2"/>
      </x:rPr>
      <x:t xml:space="preserve">起步</x:t>
    </x:r>
  </x:si>
  <x:si>
    <x:r>
      <x:rPr>
        <x:sz val="900"/>
        <x:color rgb="FF24323D"/>
        <x:rFont val="Linux Libertine G"/>
        <x:family val="2"/>
      </x:rPr>
      <x:t xml:space="preserve">不得复制城市资源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布局</x:t>
    </x:r>
  </x:si>
  <x:si>
    <x:r>
      <x:rPr>
        <x:sz val="900"/>
        <x:color rgb="FF24323D"/>
        <x:rFont val="Hiragino Sans GB"/>
      </x:rPr>
      <x:t xml:space="preserve">CityState</x:t>
    </x:r>
    <x:r>
      <x:rPr>
        <x:sz val="900"/>
        <x:color rgb="FF24323D"/>
        <x:rFont val="Linux Libertine G"/>
        <x:family val="2"/>
      </x:rPr>
      <x:t xml:space="preserve">（概念）</x:t>
    </x:r>
  </x:si>
  <x:si>
    <x:t xml:space="preserve">无独立类</x:t>
  </x:si>
  <x:si>
    <x:r>
      <x:rPr>
        <x:sz val="900"/>
        <x:color rgb="FF24323D"/>
        <x:rFont val="Hiragino Sans GB"/>
      </x:rPr>
      <x:t xml:space="preserve">ConstructionController </x:t>
    </x:r>
    <x:r>
      <x:rPr>
        <x:sz val="900"/>
        <x:color rgb="FF24323D"/>
        <x:rFont val="Linux Libertine G"/>
        <x:family val="2"/>
      </x:rPr>
      <x:t xml:space="preserve">等价适配</x:t>
    </x:r>
  </x:si>
  <x:si>
    <x:t xml:space="preserve">主场景进程</x:t>
  </x:si>
  <x:si>
    <x:r>
      <x:rPr>
        <x:sz val="900"/>
        <x:color rgb="FF24323D"/>
        <x:rFont val="Hiragino Sans GB"/>
      </x:rPr>
      <x:t xml:space="preserve">S1A.1 </x:t>
    </x:r>
    <x:r>
      <x:rPr>
        <x:sz val="900"/>
        <x:color rgb="FF24323D"/>
        <x:rFont val="Linux Libertine G"/>
        <x:family val="2"/>
      </x:rPr>
      <x:t xml:space="preserve">源字段</x:t>
    </x:r>
  </x:si>
  <x:si>
    <x:t xml:space="preserve">长期可渐进抽离，但不为名称而重写</x:t>
  </x:si>
  <x:si>
    <x:t xml:space="preserve">城市持久源状态</x:t>
  </x:si>
  <x:si>
    <x:t xml:space="preserve">权威命令</x:t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</x:si>
  <x:si>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起逐步版本化</x:t>
    </x:r>
  </x:si>
  <x:si>
    <x:t xml:space="preserve">不可并存第二可写城市真相</x:t>
  </x:si>
  <x:si>
    <x:r>
      <x:rPr>
        <x:sz val="900"/>
        <x:color rgb="FF24323D"/>
        <x:rFont val="Linux Libertine G"/>
        <x:family val="2"/>
      </x:rPr>
      <x:t xml:space="preserve">概念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未独立实现</x:t>
    </x:r>
  </x:si>
  <x:si>
    <x:t xml:space="preserve">UI Interaction State</x:t>
  </x:si>
  <x:si>
    <x:r>
      <x:rPr>
        <x:sz val="900"/>
        <x:color rgb="FF24323D"/>
        <x:rFont val="Hiragino Sans GB"/>
      </x:rPr>
      <x:t xml:space="preserve">V4 _interaction_state </x:t>
    </x:r>
    <x:r>
      <x:rPr>
        <x:sz val="900"/>
        <x:color rgb="FF24323D"/>
        <x:rFont val="Linux Libertine G"/>
        <x:family val="2"/>
      </x:rPr>
      <x:t xml:space="preserve">等</x:t>
    </x:r>
  </x:si>
  <x:si>
    <x:t xml:space="preserve">当前场景脚本</x:t>
  </x:si>
  <x:si>
    <x:r>
      <x:rPr>
        <x:sz val="900"/>
        <x:color rgb="FF24323D"/>
        <x:rFont val="Linux Libertine G"/>
        <x:family val="2"/>
      </x:rPr>
      <x:t xml:space="preserve">手势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面板生命周期</x:t>
    </x:r>
  </x:si>
  <x:si>
    <x:r>
      <x:rPr>
        <x:sz val="900"/>
        <x:color rgb="FF24323D"/>
        <x:rFont val="Linux Libertine G"/>
        <x:family val="2"/>
      </x:rPr>
      <x:t xml:space="preserve">继续局部；只引用稳定对象 </x:t>
    </x:r>
    <x:r>
      <x:rPr>
        <x:sz val="900"/>
        <x:color rgb="FF24323D"/>
        <x:rFont val="Hiragino Sans GB"/>
      </x:rPr>
      <x:t xml:space="preserve">ID</x:t>
    </x:r>
  </x:si>
  <x:si>
    <x:r>
      <x:rPr>
        <x:sz val="900"/>
        <x:color rgb="FF24323D"/>
        <x:rFont val="Linux Libertine G"/>
        <x:family val="2"/>
      </x:rPr>
      <x:t xml:space="preserve">选择、拖线、</x:t>
    </x:r>
    <x:r>
      <x:rPr>
        <x:sz val="900"/>
        <x:color rgb="FF24323D"/>
        <x:rFont val="Hiragino Sans GB"/>
      </x:rPr>
      <x:t xml:space="preserve">pending UI</x:t>
    </x:r>
  </x:si>
  <x:si>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输入所有者</x:t>
    </x:r>
  </x:si>
  <x:si>
    <x:t xml:space="preserve">无需迁移</x:t>
  </x:si>
  <x:si>
    <x:t xml:space="preserve">不得进入世界存档</x:t>
  </x:si>
  <x:si>
    <x:r>
      <x:rPr>
        <x:sz val="900"/>
        <x:color rgb="FF24323D"/>
        <x:rFont val="Linux Libertine G"/>
        <x:family val="2"/>
      </x:rPr>
      <x:t xml:space="preserve">已实现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临时</x:t>
    </x:r>
  </x:si>
  <x:si>
    <x:t xml:space="preserve">Pending Order</x:t>
  </x:si>
  <x:si>
    <x:t xml:space="preserve">V4 _pending_order</x:t>
  </x:si>
  <x:si>
    <x:r>
      <x:rPr>
        <x:sz val="900"/>
        <x:color rgb="FF24323D"/>
        <x:rFont val="Linux Libertine G"/>
        <x:family val="2"/>
      </x:rPr>
      <x:t xml:space="preserve">松开有效路线→确认</x:t>
    </x:r>
    <x:r>
      <x:rPr>
        <x:sz val="900"/>
        <x:color rgb="FF24323D"/>
        <x:rFont val="Hiragino Sans GB"/>
      </x:rPr>
      <x:t xml:space="preserve">/</x:t>
    </x:r>
    <x:r>
      <x:rPr>
        <x:sz val="900"/>
        <x:color rgb="FF24323D"/>
        <x:rFont val="Linux Libertine G"/>
        <x:family val="2"/>
      </x:rPr>
      <x:t xml:space="preserve">取消</x:t>
    </x:r>
  </x:si>
  <x:si>
    <x:r>
      <x:rPr>
        <x:sz val="900"/>
        <x:color rgb="FF24323D"/>
        <x:rFont val="Hiragino Sans GB"/>
      </x:rPr>
      <x:t xml:space="preserve">V5 </x:t>
    </x:r>
    <x:r>
      <x:rPr>
        <x:sz val="900"/>
        <x:color rgb="FF24323D"/>
        <x:rFont val="Linux Libertine G"/>
        <x:family val="2"/>
      </x:rPr>
      <x:t xml:space="preserve">提交前 </x:t>
    </x:r>
    <x:r>
      <x:rPr>
        <x:sz val="900"/>
        <x:color rgb="FF24323D"/>
        <x:rFont val="Hiragino Sans GB"/>
      </x:rPr>
      <x:t xml:space="preserve">UI </x:t>
    </x:r>
    <x:r>
      <x:rPr>
        <x:sz val="900"/>
        <x:color rgb="FF24323D"/>
        <x:rFont val="Linux Libertine G"/>
        <x:family val="2"/>
      </x:rPr>
      <x:t xml:space="preserve">草案；确认后生成权威事务</x:t>
    </x:r>
  </x:si>
  <x:si>
    <x:t xml:space="preserve">source/target/route/amount options</x:t>
  </x:si>
  <x:si>
    <x:t xml:space="preserve">UI only</x:t>
  </x:si>
  <x:si>
    <x:t xml:space="preserve">不迁移；确认结果持久化</x:t>
  </x:si>
  <x:si>
    <x:t xml:space="preserve">不得提前扣兵</x:t>
  </x:si>
  <x:si>
    <x:t xml:space="preserve">SaveSchemaVersion</x:t>
  </x:si>
  <x:si>
    <x:r>
      <x:rPr>
        <x:sz val="900"/>
        <x:color rgb="FF24323D"/>
        <x:rFont val="Hiragino Sans GB"/>
      </x:rPr>
      <x:t xml:space="preserve">CampaignOutcomeResolver</x:t>
    </x:r>
    <x:r>
      <x:rPr>
        <x:sz val="900"/>
        <x:color rgb="FF24323D"/>
        <x:rFont val="Linux Libertine G"/>
        <x:family val="2"/>
      </x:rPr>
      <x:t xml:space="preserve">（概念）</x:t>
    </x:r>
  </x:si>
</x:sst>
</file>

<file path=xl/styles.xml><?xml version="1.0" encoding="utf-8"?>
<x:styleSheet xmlns:x="http://schemas.openxmlformats.org/spreadsheetml/2006/main">
  <x:numFmts count="12">
    <x:numFmt numFmtId="164" formatCode="General"/>
    <x:numFmt numFmtId="165" formatCode="_ * #,##0.00_ ;_ * \-#,##0.00_ ;_ * \-??_ ;_ @_ "/>
    <x:numFmt numFmtId="166" formatCode="_ * #,##0.00_ ;_ * \-#,##0.00_ ;_ * \-??_ ;_ @_ "/>
    <x:numFmt numFmtId="167" formatCode="_ * #,##0_ ;_ * \-#,##0_ ;_ * \-_ ;_ @_ "/>
    <x:numFmt numFmtId="168" formatCode="_ * #,##0_ ;_ * \-#,##0_ ;_ * \-_ ;_ @_ "/>
    <x:numFmt numFmtId="169" formatCode="_ \￥* #,##0.00_ ;_ \￥* \-#,##0.00_ ;_ \￥* \-??_ ;_ @_ "/>
    <x:numFmt numFmtId="170" formatCode="_ \￥* #,##0.00_ ;_ \￥* \-#,##0.00_ ;_ \￥* \-??_ ;_ @_ "/>
    <x:numFmt numFmtId="171" formatCode="_ \￥* #,##0_ ;_ \￥* \-#,##0_ ;_ \￥* \-_ ;_ @_ "/>
    <x:numFmt numFmtId="172" formatCode="_ \￥* #,##0_ ;_ \￥* \-#,##0_ ;_ \￥* \-_ ;_ @_ "/>
    <x:numFmt numFmtId="173" formatCode="0%"/>
    <x:numFmt numFmtId="174" formatCode="0"/>
    <x:numFmt numFmtId="175" formatCode="yyyy\-mm\-dd"/>
  </x:numFmts>
  <x:fonts count="19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Hiragino Sans GB"/>
    </x:font>
    <x:font>
      <x:sz val="10"/>
      <x:name val="Linux Libertine G"/>
    </x:font>
    <x:font>
      <x:sz val="11"/>
      <x:name val="Hiragino Sans GB"/>
    </x:font>
    <x:font>
      <x:b/>
      <x:sz val="16"/>
      <x:color rgb="FFFFFFFF"/>
      <x:name val="Hiragino Sans GB"/>
    </x:font>
    <x:font>
      <x:b/>
      <x:sz val="16"/>
      <x:color rgb="FFFFFFFF"/>
      <x:name val="Linux Libertine G"/>
    </x:font>
    <x:font>
      <x:i/>
      <x:sz val="10"/>
      <x:color rgb="FF34495E"/>
      <x:name val="Hiragino Sans GB"/>
    </x:font>
    <x:font>
      <x:i/>
      <x:sz val="10"/>
      <x:color rgb="FF34495E"/>
      <x:name val="Linux Libertine G"/>
    </x:font>
    <x:font>
      <x:b/>
      <x:sz val="10"/>
      <x:color rgb="FFFFFFFF"/>
      <x:name val="Linux Libertine G"/>
    </x:font>
    <x:font>
      <x:sz val="9"/>
      <x:color rgb="FF24323D"/>
      <x:name val="Linux Libertine G"/>
    </x:font>
    <x:font>
      <x:sz val="9"/>
      <x:color rgb="FF24323D"/>
      <x:name val="Hiragino Sans GB"/>
    </x:font>
    <x:font>
      <x:b/>
      <x:sz val="10"/>
      <x:color rgb="FFFFFFFF"/>
      <x:name val="Hiragino Sans GB"/>
    </x:font>
    <x:font>
      <x:sz val="9"/>
      <x:color rgb="FF24323D"/>
      <x:name val="Linux Libertine G"/>
    </x:font>
    <x:font>
      <x:sz val="10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EF"/>
      </x:patternFill>
    </x:fill>
    <x:fill>
      <x:patternFill patternType="solid">
        <x:fgColor rgb="FF1F4E78"/>
      </x:patternFill>
    </x:fill>
  </x:fills>
  <x:borders count="7">
    <x:border diagonalUp="0" diagonalDown="0"/>
    <x:border diagonalUp="0" diagonalDown="0">
      <x:left style="thin">
        <x:color rgb="FFC8D3DC"/>
      </x:left>
      <x:right style="thin">
        <x:color rgb="FFC8D3DC"/>
      </x:right>
      <x:top style="thin">
        <x:color rgb="FFC8D3DC"/>
      </x:top>
      <x:bottom style="thin">
        <x:color rgb="FFC8D3DC"/>
      </x:bottom>
    </x:border>
    <x:border diagonalUp="0" diagonalDown="0">
      <x:bottom style="thin">
        <x:color rgb="FFD9E2E8"/>
      </x:bottom>
    </x:border>
    <x:border diagonalUp="0" diagonalDown="0">
      <x:top style="thin">
        <x:color rgb="FFD9E2E8"/>
      </x:top>
      <x:bottom style="thin">
        <x:color rgb="FFD9E2E8"/>
      </x:bottom>
    </x:border>
    <x:border diagonalUp="0" diagonalDown="0">
      <x:right style="thin">
        <x:color rgb="FF88A0B2"/>
      </x:right>
    </x:border>
    <x:border diagonalUp="0" diagonalDown="0">
      <x:left style="thin">
        <x:color rgb="FF88A0B2"/>
      </x:left>
    </x:border>
    <x:border diagonalUp="0" diagonalDown="0">
      <x:left style="thin">
        <x:color rgb="FF88A0B2"/>
      </x:left>
      <x:right style="thin">
        <x:color rgb="FF88A0B2"/>
      </x:right>
    </x:border>
  </x:borders>
  <x:cellStyleXfs count="33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5" fillId="0" borderId="0" applyFont="1" applyBorder="0" applyAlignment="0" applyProtection="0"/>
    <x:xf numFmtId="167" fontId="4" fillId="0" borderId="0" applyFont="1" applyBorder="0" applyAlignment="0" applyProtection="0"/>
    <x:xf numFmtId="168" fontId="5" fillId="0" borderId="0" applyFont="1" applyBorder="0" applyAlignment="0" applyProtection="0"/>
    <x:xf numFmtId="169" fontId="4" fillId="0" borderId="0" applyFont="1" applyBorder="0" applyAlignment="0" applyProtection="0"/>
    <x:xf numFmtId="170" fontId="5" fillId="0" borderId="0" applyFont="1" applyBorder="0" applyAlignment="0" applyProtection="0"/>
    <x:xf numFmtId="171" fontId="4" fillId="0" borderId="0" applyFont="1" applyBorder="0" applyAlignment="0" applyProtection="0"/>
    <x:xf numFmtId="172" fontId="5" fillId="0" borderId="0" applyFont="1" applyBorder="0" applyAlignment="0" applyProtection="0"/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7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5" fillId="0" borderId="0" applyFont="1" applyBorder="0" applyAlignment="0" applyProtection="0"/>
  </x:cellStyleXfs>
  <x:cellXfs count="30">
    <x:xf numFmtId="164" fontId="0" fillId="0" borderId="0" xfId="0" applyFont="0" applyBorder="0" applyAlignment="0">
      <x:alignment horizontal="general" vertical="bottom" wrapText="0"/>
    </x:xf>
    <x:xf numFmtId="164" fontId="8" fillId="2" borderId="0" xfId="29" applyFont="1" applyBorder="1" applyAlignment="1">
      <x:alignment horizontal="general" vertical="center" wrapText="0"/>
    </x:xf>
    <x:xf numFmtId="164" fontId="10" fillId="3" borderId="0" xfId="29" applyFont="1" applyBorder="1" applyAlignment="1">
      <x:alignment horizontal="general" vertical="center" wrapText="1"/>
    </x:xf>
    <x:xf numFmtId="164" fontId="12" fillId="4" borderId="1" xfId="29" applyFont="1" applyBorder="1" applyAlignment="1">
      <x:alignment horizontal="center" vertical="center" wrapText="1"/>
    </x:xf>
    <x:xf numFmtId="164" fontId="12" fillId="4" borderId="0" xfId="29" applyFont="1" applyBorder="1" applyAlignment="1">
      <x:alignment horizontal="center" vertical="center" wrapText="1"/>
    </x:xf>
    <x:xf numFmtId="164" fontId="13" fillId="0" borderId="1" xfId="29" applyFont="1" applyBorder="1" applyAlignment="1">
      <x:alignment horizontal="general" vertical="top" wrapText="1"/>
    </x:xf>
    <x:xf numFmtId="164" fontId="14" fillId="0" borderId="1" xfId="29" applyFont="1" applyBorder="1" applyAlignment="1">
      <x:alignment horizontal="general" vertical="top" wrapText="1"/>
    </x:xf>
    <x:xf numFmtId="164" fontId="14" fillId="0" borderId="2" xfId="29" applyFont="1" applyBorder="1" applyAlignment="1">
      <x:alignment horizontal="general" vertical="top" wrapText="1"/>
    </x:xf>
    <x:xf numFmtId="164" fontId="13" fillId="0" borderId="2" xfId="29" applyFont="1" applyBorder="1" applyAlignment="1">
      <x:alignment horizontal="general" vertical="top" wrapText="1"/>
    </x:xf>
    <x:xf numFmtId="164" fontId="14" fillId="0" borderId="3" xfId="29" applyFont="1" applyBorder="1" applyAlignment="1">
      <x:alignment horizontal="general" vertical="top" wrapText="1"/>
    </x:xf>
    <x:xf numFmtId="164" fontId="13" fillId="0" borderId="3" xfId="29" applyFont="1" applyBorder="1" applyAlignment="1">
      <x:alignment horizontal="general" vertical="top" wrapText="1"/>
    </x:xf>
    <x:xf numFmtId="164" fontId="12" fillId="4" borderId="4" xfId="29" applyFont="1" applyBorder="1" applyAlignment="1">
      <x:alignment horizontal="center" vertical="center" wrapText="1"/>
    </x:xf>
    <x:xf numFmtId="164" fontId="12" fillId="4" borderId="5" xfId="29" applyFont="1" applyBorder="1" applyAlignment="1">
      <x:alignment horizontal="center" vertical="center" wrapText="1"/>
    </x:xf>
    <x:xf numFmtId="164" fontId="12" fillId="4" borderId="6" xfId="29" applyFont="1" applyBorder="1" applyAlignment="1">
      <x:alignment horizontal="center" vertical="center" wrapText="1"/>
    </x:xf>
    <x:xf numFmtId="164" fontId="15" fillId="4" borderId="6" xfId="29" applyFont="1" applyBorder="1" applyAlignment="1">
      <x:alignment horizontal="center" vertical="center" wrapText="1"/>
    </x:xf>
    <x:xf numFmtId="173" fontId="14" fillId="0" borderId="2" xfId="29" applyFont="1" applyBorder="1" applyAlignment="1">
      <x:alignment horizontal="general" vertical="top" wrapText="1"/>
    </x:xf>
    <x:xf numFmtId="173" fontId="14" fillId="0" borderId="3" xfId="29" applyFont="1" applyBorder="1" applyAlignment="1">
      <x:alignment horizontal="general" vertical="top" wrapText="1"/>
    </x:xf>
    <x:xf numFmtId="164" fontId="9" fillId="2" borderId="0" xfId="29" applyFont="1" applyBorder="1" applyAlignment="1">
      <x:alignment horizontal="general" vertical="center" wrapText="0"/>
    </x:xf>
    <x:xf numFmtId="164" fontId="11" fillId="3" borderId="0" xfId="29" applyFont="1" applyBorder="1" applyAlignment="1">
      <x:alignment horizontal="general" vertical="center" wrapText="1"/>
    </x:xf>
    <x:xf numFmtId="164" fontId="16" fillId="0" borderId="3" xfId="29" applyFont="1" applyBorder="1" applyAlignment="1">
      <x:alignment horizontal="general" vertical="top" wrapText="1"/>
    </x:xf>
    <x:xf numFmtId="164" fontId="15" fillId="4" borderId="4" xfId="29" applyFont="1" applyBorder="1" applyAlignment="1">
      <x:alignment horizontal="center" vertical="center" wrapText="1"/>
    </x:xf>
    <x:xf numFmtId="164" fontId="15" fillId="4" borderId="5" xfId="29" applyFont="1" applyBorder="1" applyAlignment="1">
      <x:alignment horizontal="center" vertical="center" wrapText="1"/>
    </x:xf>
    <x:xf numFmtId="174" fontId="14" fillId="0" borderId="2" xfId="29" applyFont="1" applyBorder="1" applyAlignment="1">
      <x:alignment horizontal="general" vertical="top" wrapText="1"/>
    </x:xf>
    <x:xf numFmtId="174" fontId="14" fillId="0" borderId="3" xfId="29" applyFont="1" applyBorder="1" applyAlignment="1">
      <x:alignment horizontal="general" vertical="top" wrapText="1"/>
    </x:xf>
    <x:xf numFmtId="175" fontId="14" fillId="0" borderId="2" xfId="29" applyFont="1" applyBorder="1" applyAlignment="1">
      <x:alignment horizontal="general" vertical="top" wrapText="1"/>
    </x:xf>
    <x:xf numFmtId="175" fontId="14" fillId="0" borderId="3" xfId="29" applyFont="1" applyBorder="1" applyAlignment="1">
      <x:alignment horizontal="general" vertical="top" wrapText="1"/>
    </x:xf>
    <x:xf numFmtId="164" fontId="4" fillId="0" borderId="0" xfId="28" applyFont="1" applyBorder="0" applyAlignment="1">
      <x:alignment horizontal="general" vertical="bottom" wrapText="0"/>
    </x:xf>
    <x:xf numFmtId="164" fontId="17" fillId="0" borderId="0" xfId="28" applyFont="1" applyBorder="0" applyAlignment="1">
      <x:alignment horizontal="general" vertical="bottom" wrapText="0"/>
    </x:xf>
    <x:xf numFmtId="164" fontId="18" fillId="0" borderId="0" xfId="0" applyFont="1" applyBorder="0" applyAlignment="0">
      <x:alignment horizontal="general" vertical="bottom" wrapText="0"/>
    </x:xf>
    <x:xf numFmtId="164" fontId="16" fillId="0" borderId="2" xfId="29" applyFont="1" applyBorder="1" applyAlignment="1">
      <x:alignment horizontal="general" vertical="top" wrapText="1"/>
    </x:xf>
  </x:cellXfs>
  <x:cellStyles count="19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1" xfId="29"/>
    <x:cellStyle name="Normal 5" xfId="30"/>
    <x:cellStyle name="Percent" xfId="31"/>
    <x:cellStyle name="Percent 6" xfId="32"/>
  </x:cellStyles>
  <x:dxfs count="88"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4323D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1E7DD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0F5132"/>
        </x:patternFill>
      </x:fill>
    </x:dxf>
    <x:dxf>
      <x:fill>
        <x:patternFill>
          <x:bgColor rgb="FF842029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color rgb="FF0F5132"/>
      </x:font>
      <x:fill>
        <x:patternFill>
          <x:bgColor rgb="FFD1E7DD"/>
        </x:patternFill>
      </x:fill>
    </x:dxf>
    <x:dxf>
      <x:font>
        <x:color rgb="FF664D03"/>
      </x:font>
      <x:fill>
        <x:patternFill>
          <x:bgColor rgb="FFFFF3CD"/>
        </x:patternFill>
      </x:fill>
    </x:dxf>
    <x:dxf>
      <x:fill>
        <x:patternFill>
          <x:bgColor rgb="FFCFE2FF"/>
        </x:patternFill>
      </x:fill>
    </x:dxf>
    <x:dxf>
      <x:fill>
        <x:patternFill>
          <x:bgColor rgb="FF084298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ill>
        <x:patternFill>
          <x:bgColor rgb="FFE2D9F3"/>
        </x:patternFill>
      </x:fill>
    </x:dxf>
    <x:dxf>
      <x:fill>
        <x:patternFill>
          <x:bgColor rgb="FF432874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color rgb="FF842029"/>
      </x:font>
      <x:fill>
        <x:patternFill>
          <x:bgColor rgb="FFFDE2E2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5C2C7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84298"/>
      </x:font>
      <x:fill>
        <x:patternFill>
          <x:bgColor rgb="FFCFE2FF"/>
        </x:patternFill>
      </x:fill>
    </x:dxf>
    <x:dxf>
      <x:font>
        <x:b/>
        <x:color rgb="FF432874"/>
      </x:font>
      <x:fill>
        <x:patternFill>
          <x:bgColor rgb="FFE2D9F3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color rgb="FF0F5132"/>
      </x:font>
      <x:fill>
        <x:patternFill>
          <x:bgColor rgb="FFD1E7DD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664D03"/>
      <x:rgbColor rgb="FF800080"/>
      <x:rgbColor rgb="FF156082"/>
      <x:rgbColor rgb="FFE2D9F3"/>
      <x:rgbColor rgb="FF808080"/>
      <x:rgbColor rgb="FF9999FF"/>
      <x:rgbColor rgb="FF993366"/>
      <x:rgbColor rgb="FFFFF3CD"/>
      <x:rgbColor rgb="FFDCE7EF"/>
      <x:rgbColor rgb="FF660066"/>
      <x:rgbColor rgb="FFFF8080"/>
      <x:rgbColor rgb="FF084298"/>
      <x:rgbColor rgb="FFC8D3DC"/>
      <x:rgbColor rgb="FF000080"/>
      <x:rgbColor rgb="FFFF00FF"/>
      <x:rgbColor rgb="FFFFFF00"/>
      <x:rgbColor rgb="FF00FFFF"/>
      <x:rgbColor rgb="FF800080"/>
      <x:rgbColor rgb="FF800000"/>
      <x:rgbColor rgb="FF1F4E78"/>
      <x:rgbColor rgb="FF0000FF"/>
      <x:rgbColor rgb="FF00CCFF"/>
      <x:rgbColor rgb="FFCFE2FF"/>
      <x:rgbColor rgb="FFD1E7DD"/>
      <x:rgbColor rgb="FFFDE2E2"/>
      <x:rgbColor rgb="FFD9E2E8"/>
      <x:rgbColor rgb="FFF8D7DA"/>
      <x:rgbColor rgb="FFE2E3E5"/>
      <x:rgbColor rgb="FFF5C2C7"/>
      <x:rgbColor rgb="FF3366FF"/>
      <x:rgbColor rgb="FF46B1E1"/>
      <x:rgbColor rgb="FF99CC00"/>
      <x:rgbColor rgb="FFFFCC00"/>
      <x:rgbColor rgb="FFFF9900"/>
      <x:rgbColor rgb="FFFF6600"/>
      <x:rgbColor rgb="FF34495E"/>
      <x:rgbColor rgb="FF88A0B2"/>
      <x:rgbColor rgb="FF17324D"/>
      <x:rgbColor rgb="FF339966"/>
      <x:rgbColor rgb="FF0F5132"/>
      <x:rgbColor rgb="FF41464B"/>
      <x:rgbColor rgb="FF842029"/>
      <x:rgbColor rgb="FF993366"/>
      <x:rgbColor rgb="FF432874"/>
      <x:rgbColor rgb="FF24323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d73e19c594032" /><Relationship Type="http://schemas.openxmlformats.org/officeDocument/2006/relationships/theme" Target="/xl/theme/theme1.xml" Id="Rd2a60b7e947743c5" /><Relationship Type="http://schemas.openxmlformats.org/officeDocument/2006/relationships/sharedStrings" Target="/xl/sharedStrings.xml" Id="R0b71967841ac4994" /><Relationship Type="http://schemas.openxmlformats.org/officeDocument/2006/relationships/worksheet" Target="/xl/worksheets/sheet1.xml" Id="R7391969e41084ac8" /><Relationship Type="http://schemas.openxmlformats.org/officeDocument/2006/relationships/worksheet" Target="/xl/worksheets/sheet2.xml" Id="Re44e23596fc64c2d" /><Relationship Type="http://schemas.openxmlformats.org/officeDocument/2006/relationships/worksheet" Target="/xl/worksheets/sheet3.xml" Id="R86d6408f8729478f" /><Relationship Type="http://schemas.openxmlformats.org/officeDocument/2006/relationships/worksheet" Target="/xl/worksheets/sheet4.xml" Id="Rc8a0da75e2784bd2" /><Relationship Type="http://schemas.openxmlformats.org/officeDocument/2006/relationships/worksheet" Target="/xl/worksheets/sheet5.xml" Id="R116606fb9eab4494" /><Relationship Type="http://schemas.openxmlformats.org/officeDocument/2006/relationships/worksheet" Target="/xl/worksheets/sheet6.xml" Id="Rbb372a5acb484e04" /><Relationship Type="http://schemas.openxmlformats.org/officeDocument/2006/relationships/worksheet" Target="/xl/worksheets/sheet7.xml" Id="R4e8c644407bf4b6a" /><Relationship Type="http://schemas.openxmlformats.org/officeDocument/2006/relationships/worksheet" Target="/xl/worksheets/sheet8.xml" Id="R601cb2873e984cc4" /><Relationship Type="http://schemas.openxmlformats.org/officeDocument/2006/relationships/worksheet" Target="/xl/worksheets/sheet9.xml" Id="Ra36cc5f6bd1f4e50" /><Relationship Type="http://schemas.openxmlformats.org/officeDocument/2006/relationships/worksheet" Target="/xl/worksheets/sheet10.xml" Id="R259fd6bcb8b64c1d" /><Relationship Type="http://schemas.openxmlformats.org/officeDocument/2006/relationships/worksheet" Target="/xl/worksheets/sheet11.xml" Id="R4e166e3433374e2b" /><Relationship Type="http://schemas.openxmlformats.org/officeDocument/2006/relationships/worksheet" Target="/xl/worksheets/sheet12.xml" Id="R1f4dcedc2f684d39" /><Relationship Type="http://schemas.openxmlformats.org/officeDocument/2006/relationships/worksheet" Target="/xl/worksheets/sheet13.xml" Id="R306db9c888004595" /></Relationships>
</file>

<file path=xl/tables/table1.xml><?xml version="1.0" encoding="utf-8"?>
<x:table xmlns:x="http://schemas.openxmlformats.org/spreadsheetml/2006/main" id="2" name="BaselineTable" displayName="BaselineTable" ref="A4:E30" headerRowCount="1" totalsRowCount="0" totalsRowShown="0">
  <x:autoFilter ref="A4:E30"/>
  <x:tableColumns count="5">
    <x:tableColumn id="1" name="项目"/>
    <x:tableColumn id="2" name="当前值"/>
    <x:tableColumn id="3" name="事实标记"/>
    <x:tableColumn id="4" name="证据"/>
    <x:tableColumn id="5" name="差异／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RoadmapTable" displayName="RoadmapTable" ref="A4:P13" headerRowCount="1" totalsRowCount="0" totalsRowShown="0">
  <x:autoFilter ref="A4:P13"/>
  <x:tableColumns count="16">
    <x:tableColumn id="1" name="阶段 ID"/>
    <x:tableColumn id="2" name="阶段名称"/>
    <x:tableColumn id="3" name="玩家可感知结果"/>
    <x:tableColumn id="4" name="世界层级"/>
    <x:tableColumn id="5" name="入口条件"/>
    <x:tableColumn id="6" name="输出物"/>
    <x:tableColumn id="7" name="明确不做"/>
    <x:tableColumn id="8" name="核心数据对象"/>
    <x:tableColumn id="9" name="依赖阶段"/>
    <x:tableColumn id="10" name="自动验收门槛"/>
    <x:tableColumn id="11" name="实际窗口门槛"/>
    <x:tableColumn id="12" name="独立复查门槛"/>
    <x:tableColumn id="13" name="主要风险"/>
    <x:tableColumn id="14" name="回滚点"/>
    <x:tableColumn id="15" name="当前状态"/>
    <x:tableColumn id="16" name="阶段进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MasterTasksTable" displayName="MasterTasksTable" ref="A4:AJ92" headerRowCount="1" totalsRowCount="0" totalsRowShown="0">
  <x:autoFilter ref="A4:AJ92"/>
  <x:tableColumns count="36">
    <x:tableColumn id="1" name="Task ID"/>
    <x:tableColumn id="2" name="Parent ID"/>
    <x:tableColumn id="3" name="Phase"/>
    <x:tableColumn id="4" name="Work Package"/>
    <x:tableColumn id="5" name="Task Name"/>
    <x:tableColumn id="6" name="Task Type"/>
    <x:tableColumn id="7" name="Goal"/>
    <x:tableColumn id="8" name="Background"/>
    <x:tableColumn id="9" name="In Scope"/>
    <x:tableColumn id="10" name="Out of Scope"/>
    <x:tableColumn id="11" name="Relevant Files／Modules"/>
    <x:tableColumn id="12" name="Inputs"/>
    <x:tableColumn id="13" name="Expected Output"/>
    <x:tableColumn id="14" name="Dependencies"/>
    <x:tableColumn id="15" name="Entry Criteria"/>
    <x:tableColumn id="16" name="Acceptance Criteria"/>
    <x:tableColumn id="17" name="Validation Method"/>
    <x:tableColumn id="18" name="Test IDs"/>
    <x:tableColumn id="19" name="Test Mapping Status"/>
    <x:tableColumn id="20" name="Rollback Method"/>
    <x:tableColumn id="21" name="Stop Conditions"/>
    <x:tableColumn id="22" name="Implementer"/>
    <x:tableColumn id="23" name="Reviewer"/>
    <x:tableColumn id="24" name="Priority"/>
    <x:tableColumn id="25" name="Risk"/>
    <x:tableColumn id="26" name="Status"/>
    <x:tableColumn id="27" name="Planned Effort"/>
    <x:tableColumn id="28" name="Actual Effort"/>
    <x:tableColumn id="29" name="Start Time"/>
    <x:tableColumn id="30" name="Completion Time"/>
    <x:tableColumn id="31" name="Evidence Link"/>
    <x:tableColumn id="32" name="Review Record ID"/>
    <x:tableColumn id="33" name="Decision Record ID"/>
    <x:tableColumn id="34" name="Progress Denominator Flag"/>
    <x:tableColumn id="35" name="Notes"/>
    <x:tableColumn id="36" name="Gat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tesTable" displayName="GatesTable" ref="A4:L67" headerRowCount="1" totalsRowCount="0" totalsRowShown="0">
  <x:autoFilter ref="A4:L67"/>
  <x:tableColumns count="12">
    <x:tableColumn id="1" name="Phase"/>
    <x:tableColumn id="2" name="Gate ID"/>
    <x:tableColumn id="3" name="Gate Name"/>
    <x:tableColumn id="4" name="Required Tasks"/>
    <x:tableColumn id="5" name="Required Tests"/>
    <x:tableColumn id="6" name="Required Evidence"/>
    <x:tableColumn id="7" name="Blocking Conditions"/>
    <x:tableColumn id="8" name="Status"/>
    <x:tableColumn id="9" name="Passed Time"/>
    <x:tableColumn id="10" name="Passed By"/>
    <x:tableColumn id="11" name="Reviewer"/>
    <x:tableColumn id="12" name="Verdi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AcceptanceTable" displayName="AcceptanceTable" ref="A4:K29" headerRowCount="1" totalsRowCount="0" totalsRowShown="0">
  <x:autoFilter ref="A4:K29"/>
  <x:tableColumns count="11">
    <x:tableColumn id="1" name="Requirement ID"/>
    <x:tableColumn id="2" name="Requirement"/>
    <x:tableColumn id="3" name="Source"/>
    <x:tableColumn id="4" name="Priority"/>
    <x:tableColumn id="5" name="Related Task IDs"/>
    <x:tableColumn id="6" name="Related Test IDs"/>
    <x:tableColumn id="7" name="Automated／Manual"/>
    <x:tableColumn id="8" name="Evidence Required"/>
    <x:tableColumn id="9" name="Current Result"/>
    <x:tableColumn id="10" name="Reviewer Result"/>
    <x:tableColumn id="11" name="Final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TestsTable" displayName="TestsTable" ref="A4:O73" headerRowCount="1" totalsRowCount="0" totalsRowShown="0">
  <x:autoFilter ref="A4:O73"/>
  <x:tableColumns count="15">
    <x:tableColumn id="1" name="Test ID"/>
    <x:tableColumn id="2" name="Phase"/>
    <x:tableColumn id="3" name="Requirement IDs"/>
    <x:tableColumn id="4" name="Test Level"/>
    <x:tableColumn id="5" name="Test Type"/>
    <x:tableColumn id="6" name="Preconditions"/>
    <x:tableColumn id="7" name="Input Path"/>
    <x:tableColumn id="8" name="Expected Result"/>
    <x:tableColumn id="9" name="Actual Command"/>
    <x:tableColumn id="10" name="Environment"/>
    <x:tableColumn id="11" name="Last Result"/>
    <x:tableColumn id="12" name="Evidence"/>
    <x:tableColumn id="13" name="Regression Risk"/>
    <x:tableColumn id="14" name="Last Run Time"/>
    <x:tableColumn id="15" name="Gate 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" name="ExecutionRunsTable" displayName="ExecutionRunsTable" ref="A4:N9" headerRowCount="1" totalsRowCount="0" totalsRowShown="0">
  <x:autoFilter ref="A4:N9"/>
  <x:tableColumns count="14">
    <x:tableColumn id="1" name="Run ID"/>
    <x:tableColumn id="2" name="Date"/>
    <x:tableColumn id="3" name="Agent／Model"/>
    <x:tableColumn id="4" name="Target Task IDs"/>
    <x:tableColumn id="5" name="Start Git State"/>
    <x:tableColumn id="6" name="Files Changed"/>
    <x:tableColumn id="7" name="Commands Run"/>
    <x:tableColumn id="8" name="Tests Run"/>
    <x:tableColumn id="9" name="Result"/>
    <x:tableColumn id="10" name="Known Limitations"/>
    <x:tableColumn id="11" name="End Git State"/>
    <x:tableColumn id="12" name="Patch／Commit"/>
    <x:tableColumn id="13" name="Next Task"/>
    <x:tableColumn id="14" name="User Decision Requir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ReviewsTable" displayName="ReviewsTable" ref="A4:N9" headerRowCount="1" totalsRowCount="0" totalsRowShown="0">
  <x:autoFilter ref="A4:N9"/>
  <x:tableColumns count="14">
    <x:tableColumn id="1" name="Review ID"/>
    <x:tableColumn id="2" name="Reviewer Agent"/>
    <x:tableColumn id="3" name="Reviewed Task IDs"/>
    <x:tableColumn id="4" name="Reviewed Diff／Commit／Patch"/>
    <x:tableColumn id="5" name="Acceptance Criteria"/>
    <x:tableColumn id="6" name="Tests Re-run"/>
    <x:tableColumn id="7" name="Findings"/>
    <x:tableColumn id="8" name="Severity"/>
    <x:tableColumn id="9" name="Blocking"/>
    <x:tableColumn id="10" name="Reproduction"/>
    <x:tableColumn id="11" name="Suggested Direction"/>
    <x:tableColumn id="12" name="Implementer Response"/>
    <x:tableColumn id="13" name="Re-review Result"/>
    <x:tableColumn id="14" name="Final Verdic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RiskDecisionTable" displayName="RiskDecisionTable" ref="A4:L18" headerRowCount="1" totalsRowCount="0" totalsRowShown="0">
  <x:autoFilter ref="A4:L18"/>
  <x:tableColumns count="12">
    <x:tableColumn id="1" name="Risk／Decision ID"/>
    <x:tableColumn id="2" name="Type"/>
    <x:tableColumn id="3" name="Description"/>
    <x:tableColumn id="4" name="Evidence"/>
    <x:tableColumn id="5" name="Alternatives"/>
    <x:tableColumn id="6" name="Decision"/>
    <x:tableColumn id="7" name="Consequence"/>
    <x:tableColumn id="8" name="Reversal Cost"/>
    <x:tableColumn id="9" name="Owner"/>
    <x:tableColumn id="10" name="Date"/>
    <x:tableColumn id="11" name="Related Tasks"/>
    <x:tableColumn id="12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PlanChangelogTable" displayName="PlanChangelogTable" ref="A4:G11" headerRowCount="1" totalsRowCount="0" totalsRowShown="0">
  <x:autoFilter ref="A4:G11"/>
  <x:tableColumns count="7">
    <x:tableColumn id="1" name="Plan Version"/>
    <x:tableColumn id="2" name="Date"/>
    <x:tableColumn id="3" name="Author"/>
    <x:tableColumn id="4" name="Change Summary"/>
    <x:tableColumn id="5" name="Affected Areas"/>
    <x:tableColumn id="6" name="Reason"/>
    <x:tableColumn id="7" name="Review I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ProtectionTable" displayName="ProtectionTable" ref="A4:E13" headerRowCount="1" totalsRowCount="0" totalsRowShown="0">
  <x:autoFilter ref="A4:E13"/>
  <x:tableColumns count="5">
    <x:tableColumn id="1" name="Scope"/>
    <x:tableColumn id="2" name="Protected / Forbidden"/>
    <x:tableColumn id="3" name="Reason"/>
    <x:tableColumn id="4" name="Verification"/>
    <x:tableColumn id="5" name="Author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6" name="OwnershipTable" displayName="OwnershipTable" ref="A4:L23" headerRowCount="1" totalsRowCount="0" totalsRowShown="0">
  <x:autoFilter ref="A4:L23"/>
  <x:tableColumns count="12">
    <x:tableColumn id="1" name="对象／状态"/>
    <x:tableColumn id="2" name="当前实现位置"/>
    <x:tableColumn id="3" name="当前所有者"/>
    <x:tableColumn id="4" name="当前生命周期"/>
    <x:tableColumn id="5" name="当前持久化"/>
    <x:tableColumn id="6" name="未来职责"/>
    <x:tableColumn id="7" name="单一事实来源"/>
    <x:tableColumn id="8" name="允许读写者"/>
    <x:tableColumn id="9" name="迁移需求"/>
    <x:tableColumn id="10" name="未确认问题"/>
    <x:tableColumn id="11" name="事实标记"/>
    <x:tableColumn id="12" name="实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bf1ab7aa03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04080757b64b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c8d7935fa748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a75b0531de4b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6a71fdb81c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db46b3cc5d4d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4d04ce0e214c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c425451a2140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d82df2c756543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9720aecd904f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9cbd73025854e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0f644fea1cb4a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31.030000686645508" hidden="0" customWidth="1"/>
    <x:col min="2" max="2" width="109.80999755859375" hidden="0" customWidth="1"/>
    <x:col min="4" max="4" width="35.810001373291016" hidden="0" customWidth="1"/>
    <x:col min="5" max="5" width="23.8700008392334" hidden="0" customWidth="1"/>
    <x:col min="6" max="6" width="16.709999084472656" hidden="0" customWidth="1"/>
    <x:col min="7" max="8" width="32.220001220703125" hidden="0" customWidth="1"/>
  </x:cols>
  <x:sheetData>
    <x:row r="1" ht="28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34" hidden="0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15" hidden="0" customHeight="1">
      <x:c r="A4" s="3" t="s">
        <x:v>2</x:v>
      </x:c>
      <x:c r="B4" s="3" t="s">
        <x:v>3</x:v>
      </x:c>
      <x:c r="D4" s="4" t="s">
        <x:v>4</x:v>
      </x:c>
      <x:c r="E4" s="4"/>
      <x:c r="F4" s="4"/>
      <x:c r="G4" s="4"/>
      <x:c r="H4" s="4"/>
    </x:row>
    <x:row r="5" ht="15" hidden="0">
      <x:c r="A5" s="5" t="s">
        <x:v>5</x:v>
      </x:c>
      <x:c r="B5" s="6" t="str">
        <x:v>1.0.2-v5-g2-fresh-review-accepted-003</x:v>
      </x:c>
      <x:c r="D5" s="7" t="s">
        <x:v>6</x:v>
      </x:c>
      <x:c r="E5" s="8" t="s">
        <x:v>7</x:v>
      </x:c>
      <x:c r="F5" s="8" t="s">
        <x:v>8</x:v>
      </x:c>
      <x:c r="G5" s="8"/>
      <x:c r="H5" s="8"/>
    </x:row>
    <x:row r="6" ht="15" hidden="0">
      <x:c r="A6" s="5" t="s">
        <x:v>9</x:v>
      </x:c>
      <x:c r="B6" s="6" t="str">
        <x:v>2026-07-31</x:v>
      </x:c>
      <x:c r="D6" s="9" t="s">
        <x:v>10</x:v>
      </x:c>
      <x:c r="E6" s="10" t="s">
        <x:v>7</x:v>
      </x:c>
      <x:c r="F6" s="10" t="s">
        <x:v>8</x:v>
      </x:c>
      <x:c r="G6" s="10" t="s">
        <x:v>11</x:v>
      </x:c>
      <x:c r="H6" s="10"/>
    </x:row>
    <x:row r="7" ht="15" hidden="0">
      <x:c r="A7" s="5" t="s">
        <x:v>12</x:v>
      </x:c>
      <x:c r="B7" s="6" t="str">
        <x:v>V4 VERIFIED / FROZEN；V5-G0 VERIFIED；V5-G1 VERIFIED；V5-G2 VERIFIED；V5 IN_PROGRESS</x:v>
      </x:c>
      <x:c r="D7" s="9" t="s">
        <x:v>13</x:v>
      </x:c>
      <x:c r="E7" s="10" t="s">
        <x:v>7</x:v>
      </x:c>
      <x:c r="F7" s="10" t="s">
        <x:v>8</x:v>
      </x:c>
      <x:c r="G7" s="10"/>
      <x:c r="H7" s="10"/>
    </x:row>
    <x:row r="8" ht="15" hidden="0">
      <x:c r="A8" s="5" t="s">
        <x:v>14</x:v>
      </x:c>
      <x:c r="B8" s="6" t="str">
        <x:v>停止在 V5-G2 acceptance checkpoint；等待用户另行下令纯文档收敛；不得进入 G3/G4/G5/G6/V6</x:v>
      </x:c>
      <x:c r="D8" s="9" t="s">
        <x:v>15</x:v>
      </x:c>
      <x:c r="E8" s="10" t="s">
        <x:v>7</x:v>
      </x:c>
      <x:c r="F8" s="10" t="s">
        <x:v>16</x:v>
      </x:c>
      <x:c r="G8" s="10"/>
      <x:c r="H8" s="10"/>
    </x:row>
    <x:row r="9" ht="15" hidden="0">
      <x:c r="A9" s="5" t="s">
        <x:v>17</x:v>
      </x:c>
      <x:c r="B9" s="6" t="s">
        <x:v>18</x:v>
      </x:c>
      <x:c r="D9" s="9" t="s">
        <x:v>19</x:v>
      </x:c>
      <x:c r="E9" s="10" t="s">
        <x:v>7</x:v>
      </x:c>
      <x:c r="F9" s="10" t="s">
        <x:v>8</x:v>
      </x:c>
      <x:c r="G9" s="10"/>
      <x:c r="H9" s="10" t="s">
        <x:v>20</x:v>
      </x:c>
    </x:row>
    <x:row r="10" ht="15" hidden="0">
      <x:c r="A10" s="5" t="s">
        <x:v>21</x:v>
      </x:c>
      <x:c r="B10" s="6" t="s">
        <x:v>22</x:v>
      </x:c>
      <x:c r="D10" s="9" t="s">
        <x:v>23</x:v>
      </x:c>
      <x:c r="E10" s="10" t="s">
        <x:v>7</x:v>
      </x:c>
      <x:c r="F10" s="10" t="s">
        <x:v>16</x:v>
      </x:c>
      <x:c r="G10" s="10"/>
      <x:c r="H10" s="10"/>
    </x:row>
    <x:row r="11" ht="15" hidden="0">
      <x:c r="A11" s="5" t="s">
        <x:v>24</x:v>
      </x:c>
      <x:c r="B11" s="5" t="s">
        <x:v>25</x:v>
      </x:c>
      <x:c r="D11" s="9" t="s">
        <x:v>26</x:v>
      </x:c>
      <x:c r="E11" s="10" t="s">
        <x:v>27</x:v>
      </x:c>
      <x:c r="F11" s="10" t="s">
        <x:v>8</x:v>
      </x:c>
      <x:c r="G11" s="10"/>
      <x:c r="H11" s="10"/>
    </x:row>
    <x:row r="12" ht="15" hidden="0">
      <x:c r="A12" s="5" t="s">
        <x:v>28</x:v>
      </x:c>
      <x:c r="B12" s="6" t="s">
        <x:v>29</x:v>
      </x:c>
      <x:c r="D12" s="9" t="s">
        <x:v>30</x:v>
      </x:c>
      <x:c r="E12" s="10" t="s">
        <x:v>7</x:v>
      </x:c>
      <x:c r="F12" s="10" t="s">
        <x:v>8</x:v>
      </x:c>
      <x:c r="G12" s="10"/>
      <x:c r="H12" s="10"/>
    </x:row>
    <x:row r="13" ht="15" hidden="0">
      <x:c r="A13" s="5" t="s">
        <x:v>31</x:v>
      </x:c>
      <x:c r="B13" s="6" t="s">
        <x:v>32</x:v>
      </x:c>
      <x:c r="D13" s="9" t="s">
        <x:v>33</x:v>
      </x:c>
      <x:c r="E13" s="10" t="s">
        <x:v>34</x:v>
      </x:c>
      <x:c r="F13" s="10" t="s">
        <x:v>8</x:v>
      </x:c>
      <x:c r="G13" s="10"/>
      <x:c r="H13" s="10"/>
    </x:row>
    <x:row r="14" ht="15" hidden="0">
      <x:c r="A14" s="5" t="s">
        <x:v>35</x:v>
      </x:c>
      <x:c r="B14" s="6" t="s">
        <x:v>36</x:v>
      </x:c>
      <x:c r="D14" s="9" t="s">
        <x:v>37</x:v>
      </x:c>
      <x:c r="E14" s="10" t="s">
        <x:v>7</x:v>
      </x:c>
      <x:c r="F14" s="10" t="s">
        <x:v>8</x:v>
      </x:c>
      <x:c r="G14" s="10"/>
      <x:c r="H14" s="10"/>
    </x:row>
    <x:row r="15" ht="15" hidden="0">
      <x:c r="A15" s="5" t="s">
        <x:v>38</x:v>
      </x:c>
      <x:c r="B15" s="5" t="s">
        <x:v>39</x:v>
      </x:c>
    </x:row>
    <x:row r="17" ht="15" hidden="0" customHeight="1">
      <x:c r="A17" s="4" t="s">
        <x:v>40</x:v>
      </x:c>
      <x:c r="B17" s="4"/>
      <x:c r="C17" s="4"/>
      <x:c r="D17" s="4"/>
      <x:c r="E17" s="4"/>
      <x:c r="F17" s="4"/>
      <x:c r="G17" s="4"/>
      <x:c r="H17" s="4"/>
    </x:row>
    <x:row r="18" ht="15" hidden="0">
      <x:c r="A18" s="11" t="s">
        <x:v>41</x:v>
      </x:c>
      <x:c r="B18" s="12" t="s">
        <x:v>42</x:v>
      </x:c>
      <x:c r="D18" s="11" t="s">
        <x:v>43</x:v>
      </x:c>
      <x:c r="E18" s="13" t="s">
        <x:v>44</x:v>
      </x:c>
      <x:c r="F18" s="14" t="s">
        <x:v>26</x:v>
      </x:c>
      <x:c r="G18" s="14" t="s">
        <x:v>33</x:v>
      </x:c>
      <x:c r="H18" s="12" t="s">
        <x:v>45</x:v>
      </x:c>
    </x:row>
    <x:row r="19" ht="15" hidden="0">
      <x:c r="A19" s="7" t="s">
        <x:v>46</x:v>
      </x:c>
      <x:c r="B19" s="8" t="n">
        <x:f aca="0">COUNTIF('03_任务总表'!$Z$5:$Z$200,"READY")</x:f>
        <x:v>0</x:v>
      </x:c>
      <x:c r="D19" s="7" t="s">
        <x:v>47</x:v>
      </x:c>
      <x:c r="E19" s="8" t="n">
        <x:f aca="0">COUNTIF('03_任务总表'!$C$5:$C$200,D19)</x:f>
        <x:v>4</x:v>
      </x:c>
      <x:c r="F19" s="8" t="n">
        <x:f aca="0">COUNTIFS('03_任务总表'!$C$5:$C$200,D19,'03_任务总表'!$Z$5:$Z$200,"VERIFIED")</x:f>
        <x:v>4</x:v>
      </x:c>
      <x:c r="G19" s="8" t="n">
        <x:f aca="0">COUNTIFS('03_任务总表'!$C$5:$C$200,D19,'03_任务总表'!$Z$5:$Z$200,"CANCELLED")</x:f>
        <x:v>0</x:v>
      </x:c>
      <x:c r="H19" s="15" t="n">
        <x:f aca="0">IFERROR(F19/SUMIFS('03_任务总表'!$AH$5:$AH$200,'03_任务总表'!$C$5:$C$200,D19),0)</x:f>
        <x:v>1</x:v>
      </x:c>
    </x:row>
    <x:row r="20" ht="15" hidden="0">
      <x:c r="A20" s="10" t="s">
        <x:v>48</x:v>
      </x:c>
      <x:c r="B20" s="10" t="n">
        <x:f aca="0">COUNTIF('03_任务总表'!$Z$5:$Z$200,"BLOCKED")+COUNTIF('03_任务总表'!$Z$5:$Z$200,"REVIEW_FAILED")</x:f>
        <x:v>0</x:v>
      </x:c>
      <x:c r="D20" s="9" t="s">
        <x:v>49</x:v>
      </x:c>
      <x:c r="E20" s="10" t="n">
        <x:f aca="0">COUNTIF('03_任务总表'!$C$5:$C$200,D20)</x:f>
        <x:v>44</x:v>
      </x:c>
      <x:c r="F20" s="10" t="n">
        <x:f aca="0">COUNTIFS('03_任务总表'!$C$5:$C$200,D20,'03_任务总表'!$Z$5:$Z$200,"VERIFIED")</x:f>
        <x:v>33</x:v>
      </x:c>
      <x:c r="G20" s="10" t="n">
        <x:f aca="0">COUNTIFS('03_任务总表'!$C$5:$C$200,D20,'03_任务总表'!$Z$5:$Z$200,"CANCELLED")</x:f>
        <x:v>0</x:v>
      </x:c>
      <x:c r="H20" s="16" t="n">
        <x:f aca="0">IFERROR(F20/SUMIFS('03_任务总表'!$AH$5:$AH$200,'03_任务总表'!$C$5:$C$200,D20),0)</x:f>
        <x:v>0.75</x:v>
      </x:c>
    </x:row>
    <x:row r="21" ht="15" hidden="0">
      <x:c r="A21" s="10" t="s">
        <x:v>50</x:v>
      </x:c>
      <x:c r="B21" s="10" t="n">
        <x:f aca="0">COUNTIF('03_任务总表'!$Z$5:$Z$200,"IMPLEMENTED_PENDING_REVIEW")</x:f>
        <x:v>0</x:v>
      </x:c>
      <x:c r="D21" s="9" t="s">
        <x:v>51</x:v>
      </x:c>
      <x:c r="E21" s="10" t="n">
        <x:f aca="0">COUNTIF('03_任务总表'!$C$5:$C$200,D21)</x:f>
        <x:v>15</x:v>
      </x:c>
      <x:c r="F21" s="10" t="n">
        <x:f aca="0">COUNTIFS('03_任务总表'!$C$5:$C$200,D21,'03_任务总表'!$Z$5:$Z$200,"VERIFIED")</x:f>
        <x:v>0</x:v>
      </x:c>
      <x:c r="G21" s="10" t="n">
        <x:f aca="0">COUNTIFS('03_任务总表'!$C$5:$C$200,D21,'03_任务总表'!$Z$5:$Z$200,"CANCELLED")</x:f>
        <x:v>0</x:v>
      </x:c>
      <x:c r="H21" s="16" t="n">
        <x:f aca="0">IFERROR(F21/SUMIFS('03_任务总表'!$AH$5:$AH$200,'03_任务总表'!$C$5:$C$200,D21),0)</x:f>
        <x:v>0</x:v>
      </x:c>
    </x:row>
    <x:row r="22" ht="15" hidden="0">
      <x:c r="A22" s="10" t="s">
        <x:v>52</x:v>
      </x:c>
      <x:c r="B22" s="10" t="n">
        <x:f aca="0">COUNTIFS('05_验收矩阵'!$D$5:$D$100,"P0",'05_验收矩阵'!$F$5:$F$100,"")</x:f>
        <x:v>0</x:v>
      </x:c>
      <x:c r="D22" s="9" t="s">
        <x:v>53</x:v>
      </x:c>
      <x:c r="E22" s="10" t="n">
        <x:f aca="0">COUNTIF('03_任务总表'!$C$5:$C$200,D22)</x:f>
        <x:v>4</x:v>
      </x:c>
      <x:c r="F22" s="10" t="n">
        <x:f aca="0">COUNTIFS('03_任务总表'!$C$5:$C$200,D22,'03_任务总表'!$Z$5:$Z$200,"VERIFIED")</x:f>
        <x:v>0</x:v>
      </x:c>
      <x:c r="G22" s="10" t="n">
        <x:f aca="0">COUNTIFS('03_任务总表'!$C$5:$C$200,D22,'03_任务总表'!$Z$5:$Z$200,"CANCELLED")</x:f>
        <x:v>0</x:v>
      </x:c>
      <x:c r="H22" s="16" t="n">
        <x:f aca="0">IFERROR(F22/SUMIFS('03_任务总表'!$AH$5:$AH$200,'03_任务总表'!$C$5:$C$200,D22),0)</x:f>
        <x:v>0</x:v>
      </x:c>
    </x:row>
    <x:row r="23" ht="15" hidden="0">
      <x:c r="D23" s="9" t="s">
        <x:v>54</x:v>
      </x:c>
      <x:c r="E23" s="10" t="n">
        <x:f aca="0">COUNTIF('03_任务总表'!$C$5:$C$200,D23)</x:f>
        <x:v>4</x:v>
      </x:c>
      <x:c r="F23" s="10" t="n">
        <x:f aca="0">COUNTIFS('03_任务总表'!$C$5:$C$200,D23,'03_任务总表'!$Z$5:$Z$200,"VERIFIED")</x:f>
        <x:v>0</x:v>
      </x:c>
      <x:c r="G23" s="10" t="n">
        <x:f aca="0">COUNTIFS('03_任务总表'!$C$5:$C$200,D23,'03_任务总表'!$Z$5:$Z$200,"CANCELLED")</x:f>
        <x:v>0</x:v>
      </x:c>
      <x:c r="H23" s="16" t="n">
        <x:f aca="0">IFERROR(F23/SUMIFS('03_任务总表'!$AH$5:$AH$200,'03_任务总表'!$C$5:$C$200,D23),0)</x:f>
        <x:v>0</x:v>
      </x:c>
    </x:row>
    <x:row r="24" ht="15" hidden="0">
      <x:c r="D24" s="9" t="s">
        <x:v>55</x:v>
      </x:c>
      <x:c r="E24" s="10" t="n">
        <x:f aca="0">COUNTIF('03_任务总表'!$C$5:$C$200,D24)</x:f>
        <x:v>4</x:v>
      </x:c>
      <x:c r="F24" s="10" t="n">
        <x:f aca="0">COUNTIFS('03_任务总表'!$C$5:$C$200,D24,'03_任务总表'!$Z$5:$Z$200,"VERIFIED")</x:f>
        <x:v>0</x:v>
      </x:c>
      <x:c r="G24" s="10" t="n">
        <x:f aca="0">COUNTIFS('03_任务总表'!$C$5:$C$200,D24,'03_任务总表'!$Z$5:$Z$200,"CANCELLED")</x:f>
        <x:v>0</x:v>
      </x:c>
      <x:c r="H24" s="16" t="n">
        <x:f aca="0">IFERROR(F24/SUMIFS('03_任务总表'!$AH$5:$AH$200,'03_任务总表'!$C$5:$C$200,D24),0)</x:f>
        <x:v>0</x:v>
      </x:c>
    </x:row>
    <x:row r="25" ht="15" hidden="0">
      <x:c r="D25" s="9" t="s">
        <x:v>56</x:v>
      </x:c>
      <x:c r="E25" s="10" t="n">
        <x:f aca="0">COUNTIF('03_任务总表'!$C$5:$C$200,D25)</x:f>
        <x:v>4</x:v>
      </x:c>
      <x:c r="F25" s="10" t="n">
        <x:f aca="0">COUNTIFS('03_任务总表'!$C$5:$C$200,D25,'03_任务总表'!$Z$5:$Z$200,"VERIFIED")</x:f>
        <x:v>0</x:v>
      </x:c>
      <x:c r="G25" s="10" t="n">
        <x:f aca="0">COUNTIFS('03_任务总表'!$C$5:$C$200,D25,'03_任务总表'!$Z$5:$Z$200,"CANCELLED")</x:f>
        <x:v>0</x:v>
      </x:c>
      <x:c r="H25" s="16" t="n">
        <x:f aca="0">IFERROR(F25/SUMIFS('03_任务总表'!$AH$5:$AH$200,'03_任务总表'!$C$5:$C$200,D25),0)</x:f>
        <x:v>0</x:v>
      </x:c>
    </x:row>
    <x:row r="26" ht="15" hidden="0">
      <x:c r="D26" s="9" t="s">
        <x:v>57</x:v>
      </x:c>
      <x:c r="E26" s="10" t="n">
        <x:f aca="0">COUNTIF('03_任务总表'!$C$5:$C$200,D26)</x:f>
        <x:v>4</x:v>
      </x:c>
      <x:c r="F26" s="10" t="n">
        <x:f aca="0">COUNTIFS('03_任务总表'!$C$5:$C$200,D26,'03_任务总表'!$Z$5:$Z$200,"VERIFIED")</x:f>
        <x:v>0</x:v>
      </x:c>
      <x:c r="G26" s="10" t="n">
        <x:f aca="0">COUNTIFS('03_任务总表'!$C$5:$C$200,D26,'03_任务总表'!$Z$5:$Z$200,"CANCELLED")</x:f>
        <x:v>0</x:v>
      </x:c>
      <x:c r="H26" s="16" t="n">
        <x:f aca="0">IFERROR(F26/SUMIFS('03_任务总表'!$AH$5:$AH$200,'03_任务总表'!$C$5:$C$200,D26),0)</x:f>
        <x:v>0</x:v>
      </x:c>
    </x:row>
    <x:row r="27" ht="15" hidden="0">
      <x:c r="D27" s="9" t="s">
        <x:v>58</x:v>
      </x:c>
      <x:c r="E27" s="10" t="n">
        <x:f aca="0">COUNTIF('03_任务总表'!$C$5:$C$200,D27)</x:f>
        <x:v>4</x:v>
      </x:c>
      <x:c r="F27" s="10" t="n">
        <x:f aca="0">COUNTIFS('03_任务总表'!$C$5:$C$200,D27,'03_任务总表'!$Z$5:$Z$200,"VERIFIED")</x:f>
        <x:v>0</x:v>
      </x:c>
      <x:c r="G27" s="10" t="n">
        <x:f aca="0">COUNTIFS('03_任务总表'!$C$5:$C$200,D27,'03_任务总表'!$Z$5:$Z$200,"CANCELLED")</x:f>
        <x:v>0</x:v>
      </x:c>
      <x:c r="H27" s="16" t="n">
        <x:f aca="0">IFERROR(F27/SUMIFS('03_任务总表'!$AH$5:$AH$200,'03_任务总表'!$C$5:$C$200,D27),0)</x:f>
        <x:v>0</x:v>
      </x:c>
    </x:row>
  </x:sheetData>
  <x:mergeCells>
    <x:mergeCell ref="A1:H1"/>
    <x:mergeCell ref="A2:H2"/>
    <x:mergeCell ref="D4:H4"/>
    <x:mergeCell ref="A17:H17"/>
  </x:mergeCells>
  <x:conditionalFormatting sqref="D5:D14">
    <x:cfRule type="containsText" dxfId="0" priority="2" aboveAverage="0" percent="0" bottom="0" operator="containsText" text="BLOCKED" rank="0" equalAverage="0">
      <x:formula>NOT(ISERROR(SEARCH("BLOCKED",D5)))</x:formula>
    </x:cfRule>
    <x:cfRule type="containsText" dxfId="1" priority="3" aboveAverage="0" percent="0" bottom="0" operator="containsText" text="REVIEW_FAILED" rank="0" equalAverage="0">
      <x:formula>NOT(ISERROR(SEARCH("REVIEW_FAILED",D5)))</x:formula>
    </x:cfRule>
    <x:cfRule type="containsText" dxfId="2" priority="4" aboveAverage="0" percent="0" bottom="0" operator="containsText" text="READY" rank="0" equalAverage="0">
      <x:formula>NOT(ISERROR(SEARCH("READY",D5)))</x:formula>
    </x:cfRule>
    <x:cfRule type="containsText" dxfId="3" priority="5" aboveAverage="0" percent="0" bottom="0" operator="containsText" text="IN_PROGRESS" rank="0" equalAverage="0">
      <x:formula>NOT(ISERROR(SEARCH("IN_PROGRESS",D5)))</x:formula>
    </x:cfRule>
    <x:cfRule type="containsText" dxfId="4" priority="6" aboveAverage="0" percent="0" bottom="0" operator="containsText" text="IMPLEMENTED_PENDING_REVIEW" rank="0" equalAverage="0">
      <x:formula>NOT(ISERROR(SEARCH("IMPLEMENTED_PENDING_REVIEW",D5)))</x:formula>
    </x:cfRule>
    <x:cfRule type="containsText" dxfId="5" priority="7" aboveAverage="0" percent="0" bottom="0" operator="containsText" text="VERIFIED" rank="0" equalAverage="0">
      <x:formula>NOT(ISERROR(SEARCH("VERIFIED",D5)))</x:formula>
    </x:cfRule>
    <x:cfRule type="containsText" dxfId="6" priority="8" aboveAverage="0" percent="0" bottom="0" operator="containsText" text="DEFERRED" rank="0" equalAverage="0">
      <x:formula>NOT(ISERROR(SEARCH("DEFERRED",D5)))</x:formula>
    </x:cfRule>
  </x:conditionalFormatting>
  <x:conditionalFormatting sqref="H19:H27">
    <x:cfRule type="dataBar" priority="9">
      <x:dataBar minLength="10" maxLength="90" showValue="1">
        <x:cfvo type="min"/>
        <x:cfvo type="max"/>
        <x:color rgb="FF3D7EA6"/>
      </x:dataBar>
      <x:extLst>
        <x:ext xmlns:x14="http://schemas.microsoft.com/office/spreadsheetml/2009/9/main" uri="{B025F937-C7B1-47D3-B67F-A62EFF666E3E}">
          <x14:id>{C5BB4F6F-5F5F-4E4A-873D-4B8C90B88E5C}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9" id="{C5BB4F6F-5F5F-4E4A-873D-4B8C90B88E5C}">
            <x14:dataBar minLength="10" maxLength="90" showValue="1" gradient="1">
              <x14:cfvo type="min"/>
              <x14:cfvo type="max"/>
              <x14:fillColor rgb="FF3D7EA6"/>
              <x14:negativeFillColor rgb="FF3D7EA6"/>
              <x14:axisColor rgb="FF000000"/>
            </x14:dataBar>
          </x14:cfRule>
          <xm:sqref>H19:H27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31.030000686645508" hidden="0" customWidth="1"/>
    <x:col min="2" max="2" width="83.55000305175781" hidden="0" customWidth="1"/>
    <x:col min="3" max="3" width="21.479999542236328" hidden="0" customWidth="1"/>
    <x:col min="4" max="4" width="53.709999084472656" hidden="0" customWidth="1"/>
    <x:col min="5" max="5" width="65.6500015258789" hidden="0" customWidth="1"/>
  </x:cols>
  <x:sheetData>
    <x:row r="1" ht="28" hidden="0" customHeight="1">
      <x:c r="A1" s="17" t="s">
        <x:v>59</x:v>
      </x:c>
      <x:c r="B1" s="17"/>
      <x:c r="C1" s="17"/>
      <x:c r="D1" s="17"/>
      <x:c r="E1" s="17"/>
    </x:row>
    <x:row r="2" ht="34" hidden="0" customHeight="1">
      <x:c r="A2" s="18" t="s">
        <x:v>60</x:v>
      </x:c>
      <x:c r="B2" s="18"/>
      <x:c r="C2" s="18"/>
      <x:c r="D2" s="18"/>
      <x:c r="E2" s="18"/>
    </x:row>
    <x:row r="4" ht="15" hidden="0">
      <x:c r="A4" s="11" t="s">
        <x:v>61</x:v>
      </x:c>
      <x:c r="B4" s="13" t="s">
        <x:v>62</x:v>
      </x:c>
      <x:c r="C4" s="13" t="s">
        <x:v>63</x:v>
      </x:c>
      <x:c r="D4" s="13" t="s">
        <x:v>64</x:v>
      </x:c>
      <x:c r="E4" s="12" t="s">
        <x:v>65</x:v>
      </x:c>
    </x:row>
    <x:row r="5" ht="38" hidden="0" customHeight="1">
      <x:c r="A5" s="8" t="s">
        <x:v>66</x:v>
      </x:c>
      <x:c r="B5" s="7" t="str">
        <x:v>/Users/m1-meng/.codex/worktrees/3231/godot-天下无战事2</x:v>
      </x:c>
      <x:c r="C5" s="7" t="s">
        <x:v>67</x:v>
      </x:c>
      <x:c r="D5" s="7" t="str">
        <x:v>pwd / git rev-parse --show-toplevel</x:v>
      </x:c>
      <x:c r="E5" s="8" t="str">
        <x:v>与本轮工作树一致；不再引用 e1c8 工作树</x:v>
      </x:c>
    </x:row>
    <x:row r="6" ht="38" hidden="0" customHeight="1">
      <x:c r="A6" s="10" t="s">
        <x:v>68</x:v>
      </x:c>
      <x:c r="B6" s="9" t="str">
        <x:v>codex/v5-g0-review-g1-contracts-001</x:v>
      </x:c>
      <x:c r="C6" s="9" t="s">
        <x:v>67</x:v>
      </x:c>
      <x:c r="D6" s="9" t="s">
        <x:v>69</x:v>
      </x:c>
      <x:c r="E6" s="10"/>
    </x:row>
    <x:row r="7" ht="38" hidden="0" customHeight="1">
      <x:c r="A7" s="9" t="str">
        <x:v>V4 freeze checkpoint</x:v>
      </x:c>
      <x:c r="B7" s="9" t="str">
        <x:v>5357c282e15cb8615398d3180738d60e64be3f3e</x:v>
      </x:c>
      <x:c r="C7" s="9" t="s">
        <x:v>67</x:v>
      </x:c>
      <x:c r="D7" s="9" t="str">
        <x:v>git rev-parse 5357c28</x:v>
      </x:c>
      <x:c r="E7" s="10" t="str">
        <x:v>V4 VERIFIED / FROZEN；不得修改</x:v>
      </x:c>
    </x:row>
    <x:row r="8" ht="38" hidden="0" customHeight="1">
      <x:c r="A8" s="9" t="s">
        <x:v>70</x:v>
      </x:c>
      <x:c r="B8" s="9" t="str">
        <x:v>none (local branch)</x:v>
      </x:c>
      <x:c r="C8" s="9" t="s">
        <x:v>67</x:v>
      </x:c>
      <x:c r="D8" s="9" t="s">
        <x:v>71</x:v>
      </x:c>
      <x:c r="E8" s="10" t="s">
        <x:v>72</x:v>
      </x:c>
    </x:row>
    <x:row r="9" ht="38" hidden="0" customHeight="1">
      <x:c r="A9" s="9" t="s">
        <x:v>73</x:v>
      </x:c>
      <x:c r="B9" s="9" t="str">
        <x:v>local branch; no upstream; no push</x:v>
      </x:c>
      <x:c r="C9" s="9" t="s">
        <x:v>67</x:v>
      </x:c>
      <x:c r="D9" s="9" t="s">
        <x:v>74</x:v>
      </x:c>
      <x:c r="E9" s="9" t="s">
        <x:v>75</x:v>
      </x:c>
    </x:row>
    <x:row r="10" ht="38" hidden="0" customHeight="1">
      <x:c r="A10" s="10" t="s">
        <x:v>76</x:v>
      </x:c>
      <x:c r="B10" s="9" t="str">
        <x:v>G2 fresh independent review baseline 4d0fbfc5aefe07509db115f8f4f68e22aeda8a98；exact 8 protected S1A.2 untracked</x:v>
      </x:c>
      <x:c r="C10" s="9" t="str">
        <x:v>CONFIRMED</x:v>
      </x:c>
      <x:c r="D10" s="9" t="str">
        <x:v>git log/status + docs/reports/TXWZS_V5_G2_STABLE_ID_BOUNDARY_REPAIR_FRESH_INDEPENDENT_REVIEW_003.md + protected SHA-256</x:v>
      </x:c>
      <x:c r="E10" s="19" t="str">
        <x:v>fresh reviewer 绑定完整提交链与四文件 repair，V5-G2 已独立接受；不释放 G3</x:v>
      </x:c>
    </x:row>
    <x:row r="11" ht="38" hidden="0" customHeight="1">
      <x:c r="A11" s="9" t="str">
        <x:v>V5 G1 review</x:v>
      </x:c>
      <x:c r="B11" s="9" t="str">
        <x:v>b3a7f03 independently accepted; V5-G1 VERIFIED; G2 authorized</x:v>
      </x:c>
      <x:c r="C11" s="9" t="s">
        <x:v>67</x:v>
      </x:c>
      <x:c r="D11" s="9" t="str">
        <x:v>docs/reports/TXWZS_V5_G1_CONTRACT_PACKAGE_INDEPENDENT_REVIEW_001.md</x:v>
      </x:c>
      <x:c r="E11" s="10" t="str">
        <x:v>V5_G1_CONTRACT_PACKAGE_REVIEW_ACCEPTED；不提前接受 G2</x:v>
      </x:c>
    </x:row>
    <x:row r="12" ht="38" hidden="0" customHeight="1">
      <x:c r="A12" s="9" t="s">
        <x:v>77</x:v>
      </x:c>
      <x:c r="B12" s="9" t="s">
        <x:v>78</x:v>
      </x:c>
      <x:c r="C12" s="9" t="s">
        <x:v>67</x:v>
      </x:c>
      <x:c r="D12" s="9" t="s">
        <x:v>79</x:v>
      </x:c>
      <x:c r="E12" s="10" t="str">
        <x:v>保持 untracked/unstaged；P5 只允许条件复用，不直接作为 V5 writer</x:v>
      </x:c>
    </x:row>
    <x:row r="13" ht="38" hidden="0" customHeight="1">
      <x:c r="A13" s="10" t="s">
        <x:v>80</x:v>
      </x:c>
      <x:c r="B13" s="9" t="s">
        <x:v>81</x:v>
      </x:c>
      <x:c r="C13" s="9" t="s">
        <x:v>67</x:v>
      </x:c>
      <x:c r="D13" s="9" t="s">
        <x:v>82</x:v>
      </x:c>
      <x:c r="E13" s="10"/>
    </x:row>
    <x:row r="14" ht="38" hidden="0" customHeight="1">
      <x:c r="A14" s="10" t="s">
        <x:v>83</x:v>
      </x:c>
      <x:c r="B14" s="9" t="s">
        <x:v>84</x:v>
      </x:c>
      <x:c r="C14" s="9" t="s">
        <x:v>67</x:v>
      </x:c>
      <x:c r="D14" s="9" t="s">
        <x:v>85</x:v>
      </x:c>
      <x:c r="E14" s="10" t="s">
        <x:v>86</x:v>
      </x:c>
    </x:row>
    <x:row r="15" ht="38" hidden="0" customHeight="1">
      <x:c r="A15" s="10" t="s">
        <x:v>87</x:v>
      </x:c>
      <x:c r="B15" s="10" t="str">
        <x:v>无持续 GUI PID；正式 city/Blackstone/C0 与 editor scan 均 exit 0</x:v>
      </x:c>
      <x:c r="C15" s="9" t="str">
        <x:v>CONFIRMED</x:v>
      </x:c>
      <x:c r="D15" s="9" t="str">
        <x:v>docs/reports/TXWZS_V5_G2_RUNTIME_PACKAGE_INDEPENDENT_REVIEW_001.md</x:v>
      </x:c>
      <x:c r="E15" s="10" t="str">
        <x:v>本轮只验证 headless runtime，不进入 G4 实际窗口门</x:v>
      </x:c>
    </x:row>
    <x:row r="16" ht="38" hidden="0" customHeight="1">
      <x:c r="A16" s="9" t="s">
        <x:v>88</x:v>
      </x:c>
      <x:c r="B16" s="9" t="s">
        <x:v>89</x:v>
      </x:c>
      <x:c r="C16" s="9" t="s">
        <x:v>67</x:v>
      </x:c>
      <x:c r="D16" s="9" t="s">
        <x:v>90</x:v>
      </x:c>
      <x:c r="E16" s="10"/>
    </x:row>
    <x:row r="17" ht="38" hidden="0" customHeight="1">
      <x:c r="A17" s="9" t="s">
        <x:v>91</x:v>
      </x:c>
      <x:c r="B17" s="9" t="s">
        <x:v>92</x:v>
      </x:c>
      <x:c r="C17" s="9" t="s">
        <x:v>67</x:v>
      </x:c>
      <x:c r="D17" s="9" t="s">
        <x:v>93</x:v>
      </x:c>
      <x:c r="E17" s="10"/>
    </x:row>
    <x:row r="18" ht="38" hidden="0" customHeight="1">
      <x:c r="A18" s="9" t="s">
        <x:v>94</x:v>
      </x:c>
      <x:c r="B18" s="10" t="s">
        <x:v>95</x:v>
      </x:c>
      <x:c r="C18" s="9" t="s">
        <x:v>67</x:v>
      </x:c>
      <x:c r="D18" s="9" t="s">
        <x:v>96</x:v>
      </x:c>
      <x:c r="E18" s="10" t="s">
        <x:v>97</x:v>
      </x:c>
    </x:row>
    <x:row r="19" ht="38" hidden="0" customHeight="1">
      <x:c r="A19" s="9" t="s">
        <x:v>98</x:v>
      </x:c>
      <x:c r="B19" s="10" t="s">
        <x:v>99</x:v>
      </x:c>
      <x:c r="C19" s="9" t="s">
        <x:v>67</x:v>
      </x:c>
      <x:c r="D19" s="9" t="s">
        <x:v>100</x:v>
      </x:c>
      <x:c r="E19" s="10"/>
    </x:row>
    <x:row r="20" ht="38" hidden="0" customHeight="1">
      <x:c r="A20" s="9" t="s">
        <x:v>101</x:v>
      </x:c>
      <x:c r="B20" s="9" t="s">
        <x:v>102</x:v>
      </x:c>
      <x:c r="C20" s="9" t="s">
        <x:v>67</x:v>
      </x:c>
      <x:c r="D20" s="9" t="s">
        <x:v>103</x:v>
      </x:c>
      <x:c r="E20" s="9" t="s">
        <x:v>104</x:v>
      </x:c>
    </x:row>
    <x:row r="21" ht="38" hidden="0" customHeight="1">
      <x:c r="A21" s="10" t="s">
        <x:v>105</x:v>
      </x:c>
      <x:c r="B21" s="9" t="str">
        <x:v>ConstructionController + private GarrisonState</x:v>
      </x:c>
      <x:c r="C21" s="9" t="s">
        <x:v>67</x:v>
      </x:c>
      <x:c r="D21" s="9" t="s">
        <x:v>106</x:v>
      </x:c>
      <x:c r="E21" s="10" t="str">
        <x:v>infantry_count 仅为同一 GarrisonState 的兼容属性</x:v>
      </x:c>
    </x:row>
    <x:row r="22" ht="38" hidden="0" customHeight="1">
      <x:c r="A22" s="10" t="s">
        <x:v>107</x:v>
      </x:c>
      <x:c r="B22" s="9" t="s">
        <x:v>108</x:v>
      </x:c>
      <x:c r="C22" s="9" t="s">
        <x:v>67</x:v>
      </x:c>
      <x:c r="D22" s="9" t="s">
        <x:v>109</x:v>
      </x:c>
      <x:c r="E22" s="10" t="s">
        <x:v>110</x:v>
      </x:c>
    </x:row>
    <x:row r="23" ht="38" hidden="0" customHeight="1">
      <x:c r="A23" s="10" t="s">
        <x:v>111</x:v>
      </x:c>
      <x:c r="B23" s="9" t="s">
        <x:v>112</x:v>
      </x:c>
      <x:c r="C23" s="9" t="s">
        <x:v>67</x:v>
      </x:c>
      <x:c r="D23" s="9" t="s">
        <x:v>113</x:v>
      </x:c>
      <x:c r="E23" s="10" t="s">
        <x:v>114</x:v>
      </x:c>
    </x:row>
    <x:row r="24" ht="38" hidden="0" customHeight="1">
      <x:c r="A24" s="10" t="s">
        <x:v>115</x:v>
      </x:c>
      <x:c r="B24" s="9" t="s">
        <x:v>116</x:v>
      </x:c>
      <x:c r="C24" s="9" t="s">
        <x:v>67</x:v>
      </x:c>
      <x:c r="D24" s="9" t="s">
        <x:v>117</x:v>
      </x:c>
      <x:c r="E24" s="10" t="s">
        <x:v>118</x:v>
      </x:c>
    </x:row>
    <x:row r="25" ht="38" hidden="0" customHeight="1">
      <x:c r="A25" s="10" t="s">
        <x:v>119</x:v>
      </x:c>
      <x:c r="B25" s="9" t="str">
        <x:v>V5 SaveEnvelopeV1 + CampaignSnapshotV2；V5-G2 runtime package independently accepted</x:v>
      </x:c>
      <x:c r="C25" s="9" t="str">
        <x:v>CONFIRMED</x:v>
      </x:c>
      <x:c r="D25" s="9" t="str">
        <x:v>scripts/state/v5_campaign_* + docs/reports/TXWZS_V5_G2_STABLE_ID_BOUNDARY_REPAIR_FRESH_INDEPENDENT_REVIEW_003.md</x:v>
      </x:c>
      <x:c r="E25" s="10" t="str">
        <x:v>stable-ID sequence、V1→V2、zero-partial-write、disk/codec/store/cold restore/fallback 边界独立通过</x:v>
      </x:c>
    </x:row>
    <x:row r="26" ht="38" hidden="0" customHeight="1">
      <x:c r="A26" s="10" t="s">
        <x:v>120</x:v>
      </x:c>
      <x:c r="B26" s="9" t="str">
        <x:v>V5 focused 6/6 185；tracked 33/33 1739；all-present 35/35 1871 assertions / 1905 PASS</x:v>
      </x:c>
      <x:c r="C26" s="9" t="str">
        <x:v>CONFIRMED</x:v>
      </x:c>
      <x:c r="D26" s="9" t="str">
        <x:v>docs/reports/TXWZS_V5_G2_STABLE_ID_BOUNDARY_REPAIR_FRESH_INDEPENDENT_REVIEW_003.md</x:v>
      </x:c>
      <x:c r="E26" s="10" t="str">
        <x:v>fresh review 相对 repair reviewer 基线新增永久 stable-ID/domain/cold-boundary coverage；runner 数无差异</x:v>
      </x:c>
    </x:row>
    <x:row r="27" ht="38" hidden="0" customHeight="1">
      <x:c r="A27" s="10" t="s">
        <x:v>121</x:v>
      </x:c>
      <x:c r="B27" s="9" t="str">
        <x:v>PASS / exit 0；formal city/Blackstone/C0 与 editor scan exit 0；final error signatures 0</x:v>
      </x:c>
      <x:c r="C27" s="9" t="str">
        <x:v>CONFIRMED</x:v>
      </x:c>
      <x:c r="D27" s="9" t="str">
        <x:v>docs/reports/TXWZS_V5_G2_STABLE_ID_BOUNDARY_REPAIR_FRESH_INDEPENDENT_REVIEW_003.md</x:v>
      </x:c>
      <x:c r="E27" s="9" t="str">
        <x:v>fresh reviewer 独立重跑；不构成 G3、实际窗口或用户试玩验收</x:v>
      </x:c>
    </x:row>
    <x:row r="28" ht="38" hidden="0" customHeight="1">
      <x:c r="A28" s="10" t="s">
        <x:v>122</x:v>
      </x:c>
      <x:c r="B28" s="9" t="str">
        <x:v>cd7be2b4e65f453889c5f49a4922f788cca08a68 → e2c1096f858d571d4621b93174d3848406b42ffa → 5d659243 → fab962c0a84024e7034c32e9d5c39debc1659c5f → 4d0fbfc5aefe07509db115f8f4f68e22aeda8a98</x:v>
      </x:c>
      <x:c r="C28" s="9" t="str">
        <x:v>CONFIRMED</x:v>
      </x:c>
      <x:c r="D28" s="10" t="str">
        <x:v>git merge-base --is-ancestor + git show + four-file repair diff</x:v>
      </x:c>
      <x:c r="E28" s="9" t="str">
        <x:v>4d0fbfc 为现场文档 checkpoint；acceptance checkpoint 仅含报告、状态和主控同步</x:v>
      </x:c>
    </x:row>
    <x:row r="29" ht="38" hidden="0" customHeight="1">
      <x:c r="A29" s="9" t="s">
        <x:v>123</x:v>
      </x:c>
      <x:c r="B29" s="9" t="str">
        <x:v>exact eight SHA-256 unchanged before/after fresh review and planning sync</x:v>
      </x:c>
      <x:c r="C29" s="9" t="str">
        <x:v>CONFIRMED</x:v>
      </x:c>
      <x:c r="D29" s="9" t="str">
        <x:v>shasum -a 256 + git status + docs/reports/TXWZS_V5_G2_STABLE_ID_BOUNDARY_REPAIR_FRESH_INDEPENDENT_REVIEW_003.md</x:v>
      </x:c>
      <x:c r="E29" s="10" t="str">
        <x:v>八文件保持唯一 untracked、unstaged；不属于本 acceptance checkpoint</x:v>
      </x:c>
    </x:row>
    <x:row r="30" ht="38" hidden="0" customHeight="1">
      <x:c r="A30" s="9" t="s">
        <x:v>124</x:v>
      </x:c>
      <x:c r="B30" s="10" t="s">
        <x:v>125</x:v>
      </x:c>
      <x:c r="C30" s="9" t="s">
        <x:v>67</x:v>
      </x:c>
      <x:c r="D30" s="9" t="s">
        <x:v>126</x:v>
      </x:c>
      <x:c r="E30" s="10" t="s">
        <x:v>127</x:v>
      </x:c>
    </x:row>
  </x:sheetData>
  <x:mergeCells>
    <x:mergeCell ref="A1:E1"/>
    <x:mergeCell ref="A2:E2"/>
  </x:mergeCells>
  <x:conditionalFormatting sqref="C5:C30">
    <x:cfRule type="containsText" dxfId="15" priority="2" aboveAverage="0" percent="0" bottom="0" operator="containsText" text="CONFLICTED" rank="0" equalAverage="0">
      <x:formula>NOT(ISERROR(SEARCH("CONFLICTED",C5)))</x:formula>
    </x:cfRule>
    <x:cfRule type="containsText" dxfId="16" priority="3" aboveAverage="0" percent="0" bottom="0" operator="containsText" text="CONFIRMED" rank="0" equalAverage="0">
      <x:formula>NOT(ISERROR(SEARCH("CONFIRMED",C5)))</x:formula>
    </x:cfRule>
    <x:cfRule type="containsText" dxfId="17" priority="4" aboveAverage="0" percent="0" bottom="0" operator="containsText" text="UNVERIFIED" rank="0" equalAverage="0">
      <x:formula>NOT(ISERROR(SEARCH("UNVERIFIED",C5)))</x:formula>
    </x:cfRule>
  </x:conditionalFormatting>
  <x:dataValidations count="1">
    <x:dataValidation type="list" errorStyle="stop" operator="between" allowBlank="0" showDropDown="0" showInputMessage="0" showErrorMessage="0" sqref="C5:C30">
      <x:formula1>"CONFIRMED,INFERRED,UNVERIFIED,CONFLICTED"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6bf1ab7aa0349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11.9399995803833" hidden="0" customWidth="1"/>
    <x:col min="2" max="2" width="33.41999816894531" hidden="0" customWidth="1"/>
    <x:col min="3" max="3" width="65.6500015258789" hidden="0" customWidth="1"/>
    <x:col min="4" max="4" width="33.41999816894531" hidden="0" customWidth="1"/>
    <x:col min="5" max="5" width="53.709999084472656" hidden="0" customWidth="1"/>
    <x:col min="6" max="6" width="65.6500015258789" hidden="0" customWidth="1"/>
    <x:col min="7" max="7" width="57.290000915527344" hidden="0" customWidth="1"/>
    <x:col min="8" max="8" width="53.709999084472656" hidden="0" customWidth="1"/>
    <x:col min="9" max="9" width="16.709999084472656" hidden="0" customWidth="1"/>
    <x:col min="10" max="11" width="57.290000915527344" hidden="0" customWidth="1"/>
    <x:col min="12" max="12" width="50.130001068115234" hidden="0" customWidth="1"/>
    <x:col min="13" max="13" width="53.709999084472656" hidden="0" customWidth="1"/>
    <x:col min="14" max="14" width="45.349998474121094" hidden="0" customWidth="1"/>
    <x:col min="15" max="15" width="33.41999816894531" hidden="0" customWidth="1"/>
    <x:col min="16" max="16" width="16.709999084472656" hidden="0" customWidth="1"/>
  </x:cols>
  <x:sheetData>
    <x:row r="1" ht="28" hidden="0" customHeight="1">
      <x:c r="A1" s="1" t="s">
        <x:v>128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34" hidden="0" customHeight="1">
      <x:c r="A2" s="2" t="s">
        <x:v>129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4" ht="15" hidden="0">
      <x:c r="A4" s="11" t="s">
        <x:v>130</x:v>
      </x:c>
      <x:c r="B4" s="13" t="s">
        <x:v>131</x:v>
      </x:c>
      <x:c r="C4" s="13" t="s">
        <x:v>132</x:v>
      </x:c>
      <x:c r="D4" s="13" t="s">
        <x:v>133</x:v>
      </x:c>
      <x:c r="E4" s="13" t="s">
        <x:v>134</x:v>
      </x:c>
      <x:c r="F4" s="13" t="s">
        <x:v>135</x:v>
      </x:c>
      <x:c r="G4" s="13" t="s">
        <x:v>136</x:v>
      </x:c>
      <x:c r="H4" s="13" t="s">
        <x:v>137</x:v>
      </x:c>
      <x:c r="I4" s="13" t="s">
        <x:v>138</x:v>
      </x:c>
      <x:c r="J4" s="13" t="s">
        <x:v>139</x:v>
      </x:c>
      <x:c r="K4" s="13" t="s">
        <x:v>140</x:v>
      </x:c>
      <x:c r="L4" s="13" t="s">
        <x:v>141</x:v>
      </x:c>
      <x:c r="M4" s="13" t="s">
        <x:v>142</x:v>
      </x:c>
      <x:c r="N4" s="13" t="s">
        <x:v>143</x:v>
      </x:c>
      <x:c r="O4" s="13" t="s">
        <x:v>144</x:v>
      </x:c>
      <x:c r="P4" s="12" t="s">
        <x:v>145</x:v>
      </x:c>
    </x:row>
    <x:row r="5" ht="44" hidden="0" customHeight="1">
      <x:c r="A5" s="7" t="s">
        <x:v>47</x:v>
      </x:c>
      <x:c r="B5" s="8" t="s">
        <x:v>146</x:v>
      </x:c>
      <x:c r="C5" s="8" t="s">
        <x:v>147</x:v>
      </x:c>
      <x:c r="D5" s="8" t="s">
        <x:v>148</x:v>
      </x:c>
      <x:c r="E5" s="8" t="s">
        <x:v>149</x:v>
      </x:c>
      <x:c r="F5" s="8" t="s">
        <x:v>150</x:v>
      </x:c>
      <x:c r="G5" s="8" t="s">
        <x:v>151</x:v>
      </x:c>
      <x:c r="H5" s="7" t="s">
        <x:v>152</x:v>
      </x:c>
      <x:c r="I5" s="7" t="s">
        <x:v>153</x:v>
      </x:c>
      <x:c r="J5" s="7" t="s">
        <x:v>154</x:v>
      </x:c>
      <x:c r="K5" s="8" t="s">
        <x:v>155</x:v>
      </x:c>
      <x:c r="L5" s="8" t="s">
        <x:v>156</x:v>
      </x:c>
      <x:c r="M5" s="8" t="s">
        <x:v>157</x:v>
      </x:c>
      <x:c r="N5" s="8" t="s">
        <x:v>158</x:v>
      </x:c>
      <x:c r="O5" s="7" t="s">
        <x:v>26</x:v>
      </x:c>
      <x:c r="P5" s="15" t="n">
        <x:f aca="0">IFERROR(COUNTIFS('03_任务总表'!$C$5:$C$200,$A5,'03_任务总表'!$Z$5:$Z$200,"VERIFIED")/SUMIFS('03_任务总表'!$AH$5:$AH$200,'03_任务总表'!$C$5:$C$200,$A5),0)</x:f>
        <x:v>1</x:v>
      </x:c>
    </x:row>
    <x:row r="6" ht="44" hidden="0" customHeight="1">
      <x:c r="A6" s="9" t="s">
        <x:v>49</x:v>
      </x:c>
      <x:c r="B6" s="10" t="s">
        <x:v>159</x:v>
      </x:c>
      <x:c r="C6" s="10" t="s">
        <x:v>160</x:v>
      </x:c>
      <x:c r="D6" s="10" t="s">
        <x:v>161</x:v>
      </x:c>
      <x:c r="E6" s="9" t="s">
        <x:v>162</x:v>
      </x:c>
      <x:c r="F6" s="10" t="s">
        <x:v>163</x:v>
      </x:c>
      <x:c r="G6" s="10" t="s">
        <x:v>164</x:v>
      </x:c>
      <x:c r="H6" s="9" t="s">
        <x:v>165</x:v>
      </x:c>
      <x:c r="I6" s="9" t="s">
        <x:v>47</x:v>
      </x:c>
      <x:c r="J6" s="10" t="s">
        <x:v>166</x:v>
      </x:c>
      <x:c r="K6" s="10" t="s">
        <x:v>167</x:v>
      </x:c>
      <x:c r="L6" s="9" t="s">
        <x:v>168</x:v>
      </x:c>
      <x:c r="M6" s="10" t="s">
        <x:v>169</x:v>
      </x:c>
      <x:c r="N6" s="10" t="s">
        <x:v>170</x:v>
      </x:c>
      <x:c r="O6" s="9" t="str">
        <x:v>IN_PROGRESS</x:v>
      </x:c>
      <x:c r="P6" s="16" t="n">
        <x:f aca="0">IFERROR(COUNTIFS('03_任务总表'!$C$5:$C$200,$A6,'03_任务总表'!$Z$5:$Z$200,"VERIFIED")/SUMIFS('03_任务总表'!$AH$5:$AH$200,'03_任务总表'!$C$5:$C$200,$A6),0)</x:f>
        <x:v>0.75</x:v>
      </x:c>
    </x:row>
    <x:row r="7" ht="44" hidden="0" customHeight="1">
      <x:c r="A7" s="9" t="s">
        <x:v>51</x:v>
      </x:c>
      <x:c r="B7" s="10" t="s">
        <x:v>171</x:v>
      </x:c>
      <x:c r="C7" s="10" t="s">
        <x:v>172</x:v>
      </x:c>
      <x:c r="D7" s="10" t="s">
        <x:v>173</x:v>
      </x:c>
      <x:c r="E7" s="9" t="s">
        <x:v>174</x:v>
      </x:c>
      <x:c r="F7" s="10" t="s">
        <x:v>175</x:v>
      </x:c>
      <x:c r="G7" s="10" t="s">
        <x:v>176</x:v>
      </x:c>
      <x:c r="H7" s="9" t="s">
        <x:v>177</x:v>
      </x:c>
      <x:c r="I7" s="9" t="s">
        <x:v>49</x:v>
      </x:c>
      <x:c r="J7" s="10" t="s">
        <x:v>178</x:v>
      </x:c>
      <x:c r="K7" s="10" t="s">
        <x:v>179</x:v>
      </x:c>
      <x:c r="L7" s="10" t="s">
        <x:v>180</x:v>
      </x:c>
      <x:c r="M7" s="10" t="s">
        <x:v>181</x:v>
      </x:c>
      <x:c r="N7" s="9" t="s">
        <x:v>182</x:v>
      </x:c>
      <x:c r="O7" s="9" t="s">
        <x:v>6</x:v>
      </x:c>
      <x:c r="P7" s="16" t="n">
        <x:f aca="0">IFERROR(COUNTIFS('03_任务总表'!$C$5:$C$200,$A7,'03_任务总表'!$Z$5:$Z$200,"VERIFIED")/SUMIFS('03_任务总表'!$AH$5:$AH$200,'03_任务总表'!$C$5:$C$200,$A7),0)</x:f>
        <x:v>0</x:v>
      </x:c>
    </x:row>
    <x:row r="8" ht="44" hidden="0" customHeight="1">
      <x:c r="A8" s="9" t="s">
        <x:v>53</x:v>
      </x:c>
      <x:c r="B8" s="10" t="s">
        <x:v>183</x:v>
      </x:c>
      <x:c r="C8" s="10" t="s">
        <x:v>184</x:v>
      </x:c>
      <x:c r="D8" s="10" t="s">
        <x:v>185</x:v>
      </x:c>
      <x:c r="E8" s="9" t="s">
        <x:v>186</x:v>
      </x:c>
      <x:c r="F8" s="10" t="s">
        <x:v>187</x:v>
      </x:c>
      <x:c r="G8" s="10" t="s">
        <x:v>188</x:v>
      </x:c>
      <x:c r="H8" s="9" t="s">
        <x:v>189</x:v>
      </x:c>
      <x:c r="I8" s="9" t="s">
        <x:v>51</x:v>
      </x:c>
      <x:c r="J8" s="10" t="s">
        <x:v>190</x:v>
      </x:c>
      <x:c r="K8" s="10" t="s">
        <x:v>191</x:v>
      </x:c>
      <x:c r="L8" s="10" t="s">
        <x:v>192</x:v>
      </x:c>
      <x:c r="M8" s="10" t="s">
        <x:v>193</x:v>
      </x:c>
      <x:c r="N8" s="9" t="s">
        <x:v>194</x:v>
      </x:c>
      <x:c r="O8" s="9" t="s">
        <x:v>6</x:v>
      </x:c>
      <x:c r="P8" s="16" t="n">
        <x:f aca="0">IFERROR(COUNTIFS('03_任务总表'!$C$5:$C$200,$A8,'03_任务总表'!$Z$5:$Z$200,"VERIFIED")/SUMIFS('03_任务总表'!$AH$5:$AH$200,'03_任务总表'!$C$5:$C$200,$A8),0)</x:f>
        <x:v>0</x:v>
      </x:c>
    </x:row>
    <x:row r="9" ht="44" hidden="0" customHeight="1">
      <x:c r="A9" s="9" t="s">
        <x:v>54</x:v>
      </x:c>
      <x:c r="B9" s="10" t="s">
        <x:v>195</x:v>
      </x:c>
      <x:c r="C9" s="10" t="s">
        <x:v>196</x:v>
      </x:c>
      <x:c r="D9" s="10" t="s">
        <x:v>197</x:v>
      </x:c>
      <x:c r="E9" s="9" t="s">
        <x:v>198</x:v>
      </x:c>
      <x:c r="F9" s="9" t="s">
        <x:v>199</x:v>
      </x:c>
      <x:c r="G9" s="10" t="s">
        <x:v>200</x:v>
      </x:c>
      <x:c r="H9" s="9" t="s">
        <x:v>201</x:v>
      </x:c>
      <x:c r="I9" s="9" t="s">
        <x:v>53</x:v>
      </x:c>
      <x:c r="J9" s="10" t="s">
        <x:v>202</x:v>
      </x:c>
      <x:c r="K9" s="10" t="s">
        <x:v>203</x:v>
      </x:c>
      <x:c r="L9" s="9" t="s">
        <x:v>204</x:v>
      </x:c>
      <x:c r="M9" s="9" t="s">
        <x:v>205</x:v>
      </x:c>
      <x:c r="N9" s="9" t="s">
        <x:v>206</x:v>
      </x:c>
      <x:c r="O9" s="9" t="s">
        <x:v>6</x:v>
      </x:c>
      <x:c r="P9" s="16" t="n">
        <x:f aca="0">IFERROR(COUNTIFS('03_任务总表'!$C$5:$C$200,$A9,'03_任务总表'!$Z$5:$Z$200,"VERIFIED")/SUMIFS('03_任务总表'!$AH$5:$AH$200,'03_任务总表'!$C$5:$C$200,$A9),0)</x:f>
        <x:v>0</x:v>
      </x:c>
    </x:row>
    <x:row r="10" ht="44" hidden="0" customHeight="1">
      <x:c r="A10" s="9" t="s">
        <x:v>55</x:v>
      </x:c>
      <x:c r="B10" s="10" t="s">
        <x:v>207</x:v>
      </x:c>
      <x:c r="C10" s="10" t="s">
        <x:v>208</x:v>
      </x:c>
      <x:c r="D10" s="10" t="s">
        <x:v>209</x:v>
      </x:c>
      <x:c r="E10" s="9" t="s">
        <x:v>210</x:v>
      </x:c>
      <x:c r="F10" s="10" t="s">
        <x:v>211</x:v>
      </x:c>
      <x:c r="G10" s="10" t="s">
        <x:v>212</x:v>
      </x:c>
      <x:c r="H10" s="9" t="s">
        <x:v>213</x:v>
      </x:c>
      <x:c r="I10" s="9" t="s">
        <x:v>54</x:v>
      </x:c>
      <x:c r="J10" s="10" t="s">
        <x:v>214</x:v>
      </x:c>
      <x:c r="K10" s="10" t="s">
        <x:v>215</x:v>
      </x:c>
      <x:c r="L10" s="10" t="s">
        <x:v>216</x:v>
      </x:c>
      <x:c r="M10" s="10" t="s">
        <x:v>217</x:v>
      </x:c>
      <x:c r="N10" s="9" t="s">
        <x:v>218</x:v>
      </x:c>
      <x:c r="O10" s="9" t="s">
        <x:v>6</x:v>
      </x:c>
      <x:c r="P10" s="16" t="n">
        <x:f aca="0">IFERROR(COUNTIFS('03_任务总表'!$C$5:$C$200,$A10,'03_任务总表'!$Z$5:$Z$200,"VERIFIED")/SUMIFS('03_任务总表'!$AH$5:$AH$200,'03_任务总表'!$C$5:$C$200,$A10),0)</x:f>
        <x:v>0</x:v>
      </x:c>
    </x:row>
    <x:row r="11" ht="44" hidden="0" customHeight="1">
      <x:c r="A11" s="9" t="s">
        <x:v>56</x:v>
      </x:c>
      <x:c r="B11" s="10" t="s">
        <x:v>219</x:v>
      </x:c>
      <x:c r="C11" s="10" t="s">
        <x:v>220</x:v>
      </x:c>
      <x:c r="D11" s="10" t="s">
        <x:v>221</x:v>
      </x:c>
      <x:c r="E11" s="9" t="s">
        <x:v>222</x:v>
      </x:c>
      <x:c r="F11" s="10" t="s">
        <x:v>223</x:v>
      </x:c>
      <x:c r="G11" s="10" t="s">
        <x:v>224</x:v>
      </x:c>
      <x:c r="H11" s="9" t="s">
        <x:v>225</x:v>
      </x:c>
      <x:c r="I11" s="9" t="s">
        <x:v>55</x:v>
      </x:c>
      <x:c r="J11" s="10" t="s">
        <x:v>226</x:v>
      </x:c>
      <x:c r="K11" s="10" t="s">
        <x:v>227</x:v>
      </x:c>
      <x:c r="L11" s="10" t="s">
        <x:v>228</x:v>
      </x:c>
      <x:c r="M11" s="10" t="s">
        <x:v>229</x:v>
      </x:c>
      <x:c r="N11" s="9" t="s">
        <x:v>230</x:v>
      </x:c>
      <x:c r="O11" s="9" t="s">
        <x:v>6</x:v>
      </x:c>
      <x:c r="P11" s="16" t="n">
        <x:f aca="0">IFERROR(COUNTIFS('03_任务总表'!$C$5:$C$200,$A11,'03_任务总表'!$Z$5:$Z$200,"VERIFIED")/SUMIFS('03_任务总表'!$AH$5:$AH$200,'03_任务总表'!$C$5:$C$200,$A11),0)</x:f>
        <x:v>0</x:v>
      </x:c>
    </x:row>
    <x:row r="12" ht="44" hidden="0" customHeight="1">
      <x:c r="A12" s="9" t="s">
        <x:v>57</x:v>
      </x:c>
      <x:c r="B12" s="10" t="s">
        <x:v>231</x:v>
      </x:c>
      <x:c r="C12" s="10" t="s">
        <x:v>232</x:v>
      </x:c>
      <x:c r="D12" s="10" t="s">
        <x:v>233</x:v>
      </x:c>
      <x:c r="E12" s="9" t="s">
        <x:v>234</x:v>
      </x:c>
      <x:c r="F12" s="10" t="s">
        <x:v>235</x:v>
      </x:c>
      <x:c r="G12" s="10" t="s">
        <x:v>236</x:v>
      </x:c>
      <x:c r="H12" s="9" t="s">
        <x:v>237</x:v>
      </x:c>
      <x:c r="I12" s="9" t="s">
        <x:v>56</x:v>
      </x:c>
      <x:c r="J12" s="10" t="s">
        <x:v>238</x:v>
      </x:c>
      <x:c r="K12" s="10" t="s">
        <x:v>239</x:v>
      </x:c>
      <x:c r="L12" s="10" t="s">
        <x:v>240</x:v>
      </x:c>
      <x:c r="M12" s="9" t="s">
        <x:v>241</x:v>
      </x:c>
      <x:c r="N12" s="9" t="s">
        <x:v>242</x:v>
      </x:c>
      <x:c r="O12" s="9" t="s">
        <x:v>6</x:v>
      </x:c>
      <x:c r="P12" s="16" t="n">
        <x:f aca="0">IFERROR(COUNTIFS('03_任务总表'!$C$5:$C$200,$A12,'03_任务总表'!$Z$5:$Z$200,"VERIFIED")/SUMIFS('03_任务总表'!$AH$5:$AH$200,'03_任务总表'!$C$5:$C$200,$A12),0)</x:f>
        <x:v>0</x:v>
      </x:c>
    </x:row>
    <x:row r="13" ht="44" hidden="0" customHeight="1">
      <x:c r="A13" s="9" t="s">
        <x:v>58</x:v>
      </x:c>
      <x:c r="B13" s="10" t="s">
        <x:v>243</x:v>
      </x:c>
      <x:c r="C13" s="10" t="s">
        <x:v>244</x:v>
      </x:c>
      <x:c r="D13" s="10" t="s">
        <x:v>245</x:v>
      </x:c>
      <x:c r="E13" s="9" t="s">
        <x:v>246</x:v>
      </x:c>
      <x:c r="F13" s="10" t="s">
        <x:v>247</x:v>
      </x:c>
      <x:c r="G13" s="10" t="s">
        <x:v>248</x:v>
      </x:c>
      <x:c r="H13" s="9" t="s">
        <x:v>249</x:v>
      </x:c>
      <x:c r="I13" s="9" t="s">
        <x:v>57</x:v>
      </x:c>
      <x:c r="J13" s="10" t="s">
        <x:v>250</x:v>
      </x:c>
      <x:c r="K13" s="10" t="s">
        <x:v>251</x:v>
      </x:c>
      <x:c r="L13" s="10" t="s">
        <x:v>252</x:v>
      </x:c>
      <x:c r="M13" s="10" t="s">
        <x:v>253</x:v>
      </x:c>
      <x:c r="N13" s="9" t="s">
        <x:v>254</x:v>
      </x:c>
      <x:c r="O13" s="9" t="s">
        <x:v>6</x:v>
      </x:c>
      <x:c r="P13" s="16" t="n">
        <x:f aca="0">IFERROR(COUNTIFS('03_任务总表'!$C$5:$C$200,$A13,'03_任务总表'!$Z$5:$Z$200,"VERIFIED")/SUMIFS('03_任务总表'!$AH$5:$AH$200,'03_任务总表'!$C$5:$C$200,$A13),0)</x:f>
        <x:v>0</x:v>
      </x:c>
    </x:row>
  </x:sheetData>
  <x:mergeCells>
    <x:mergeCell ref="A1:P1"/>
    <x:mergeCell ref="A2:P2"/>
  </x:mergeCells>
  <x:conditionalFormatting sqref="O5:O13">
    <x:cfRule type="containsText" dxfId="20" priority="2" aboveAverage="0" percent="0" bottom="0" operator="containsText" text="BLOCKED" rank="0" equalAverage="0">
      <x:formula>NOT(ISERROR(SEARCH("BLOCKED",O5)))</x:formula>
    </x:cfRule>
    <x:cfRule type="containsText" dxfId="21" priority="3" aboveAverage="0" percent="0" bottom="0" operator="containsText" text="REVIEW_FAILED" rank="0" equalAverage="0">
      <x:formula>NOT(ISERROR(SEARCH("REVIEW_FAILED",O5)))</x:formula>
    </x:cfRule>
    <x:cfRule type="containsText" dxfId="22" priority="4" aboveAverage="0" percent="0" bottom="0" operator="containsText" text="READY" rank="0" equalAverage="0">
      <x:formula>NOT(ISERROR(SEARCH("READY",O5)))</x:formula>
    </x:cfRule>
    <x:cfRule type="containsText" dxfId="23" priority="5" aboveAverage="0" percent="0" bottom="0" operator="containsText" text="IN_PROGRESS" rank="0" equalAverage="0">
      <x:formula>NOT(ISERROR(SEARCH("IN_PROGRESS",O5)))</x:formula>
    </x:cfRule>
    <x:cfRule type="containsText" dxfId="24" priority="6" aboveAverage="0" percent="0" bottom="0" operator="containsText" text="IMPLEMENTED_PENDING_REVIEW" rank="0" equalAverage="0">
      <x:formula>NOT(ISERROR(SEARCH("IMPLEMENTED_PENDING_REVIEW",O5)))</x:formula>
    </x:cfRule>
    <x:cfRule type="containsText" dxfId="25" priority="7" aboveAverage="0" percent="0" bottom="0" operator="containsText" text="VERIFIED" rank="0" equalAverage="0">
      <x:formula>NOT(ISERROR(SEARCH("VERIFIED",O5)))</x:formula>
    </x:cfRule>
    <x:cfRule type="containsText" dxfId="26" priority="8" aboveAverage="0" percent="0" bottom="0" operator="containsText" text="DEFERRED" rank="0" equalAverage="0">
      <x:formula>NOT(ISERROR(SEARCH("DEFERRED",O5)))</x:formula>
    </x:cfRule>
  </x:conditionalFormatting>
  <x:conditionalFormatting sqref="P5:P13">
    <x:cfRule type="dataBar" priority="9">
      <x:dataBar minLength="10" maxLength="90" showValue="1">
        <x:cfvo type="min"/>
        <x:cfvo type="max"/>
        <x:color rgb="FF3D7EA6"/>
      </x:dataBar>
      <x:extLst>
        <x:ext xmlns:x14="http://schemas.microsoft.com/office/spreadsheetml/2009/9/main" uri="{B025F937-C7B1-47D3-B67F-A62EFF666E3E}">
          <x14:id>{A8825790-D800-47D0-B457-627B9758258F}</x14:id>
        </x:ext>
      </x:extLst>
    </x:cfRule>
  </x:conditionalFormatting>
  <x:dataValidations count="1">
    <x:dataValidation type="list" errorStyle="stop" operator="between" allowBlank="0" showDropDown="0" showInputMessage="0" showErrorMessage="0" sqref="O5:O13">
      <x:formula1>"NOT_STARTED,READY,IN_PROGRESS,BLOCKED,IMPLEMENTED_PENDING_REVIEW,REVIEW_FAILED,VERIFIED,DEFERRED,CANCELLED,UNVERIFIED"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404080757b64b7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9" id="{A8825790-D800-47D0-B457-627B9758258F}">
            <x14:dataBar minLength="10" maxLength="90" showValue="1" gradient="1">
              <x14:cfvo type="min"/>
              <x14:cfvo type="max"/>
              <x14:fillColor rgb="FF3D7EA6"/>
              <x14:negativeFillColor rgb="FF3D7EA6"/>
              <x14:axisColor rgb="FF000000"/>
            </x14:dataBar>
          </x14:cfRule>
          <xm:sqref>P5:P13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2" width="21.479999542236328" hidden="0" customWidth="1"/>
    <x:col min="3" max="3" width="10.739999771118164" hidden="0" customWidth="1"/>
    <x:col min="4" max="4" width="23.8700008392334" hidden="0" customWidth="1"/>
    <x:col min="5" max="5" width="40.58000183105469" hidden="0" customWidth="1"/>
    <x:col min="6" max="6" width="21.479999542236328" hidden="0" customWidth="1"/>
    <x:col min="7" max="11" width="50.130001068115234" hidden="0" customWidth="1"/>
    <x:col min="12" max="12" width="40.58000183105469" hidden="0" customWidth="1"/>
    <x:col min="13" max="13" width="50.130001068115234" hidden="0" customWidth="1"/>
    <x:col min="14" max="14" width="28.649999618530273" hidden="0" customWidth="1"/>
    <x:col min="15" max="15" width="40.58000183105469" hidden="0" customWidth="1"/>
    <x:col min="16" max="16" width="57.290000915527344" hidden="0" customWidth="1"/>
    <x:col min="17" max="17" width="35.810001373291016" hidden="0" customWidth="1"/>
    <x:col min="18" max="18" width="33.41999816894531" hidden="0" customWidth="1"/>
    <x:col min="19" max="19" width="35.810001373291016" hidden="0" customWidth="1"/>
    <x:col min="20" max="20" width="45.349998474121094" hidden="0" customWidth="1"/>
    <x:col min="21" max="21" width="50.130001068115234" hidden="0" customWidth="1"/>
    <x:col min="22" max="22" width="21.479999542236328" hidden="0" customWidth="1"/>
    <x:col min="23" max="23" width="28.649999618530273" hidden="0" customWidth="1"/>
    <x:col min="24" max="24" width="11.9399995803833" hidden="0" customWidth="1"/>
    <x:col min="25" max="25" width="14.329999923706055" hidden="0" customWidth="1"/>
    <x:col min="26" max="26" width="35.810001373291016" hidden="0" customWidth="1"/>
    <x:col min="27" max="28" width="16.709999084472656" hidden="0" customWidth="1"/>
    <x:col min="29" max="30" width="19.100000381469727" hidden="0" customWidth="1"/>
    <x:col min="31" max="31" width="35.810001373291016" hidden="0" customWidth="1"/>
    <x:col min="32" max="33" width="23.8700008392334" hidden="0" customWidth="1"/>
    <x:col min="34" max="34" width="26.260000228881836" hidden="0" customWidth="1"/>
    <x:col min="35" max="35" width="45.349998474121094" hidden="0" customWidth="1"/>
    <x:col min="36" max="36" width="35.810001373291016" hidden="0" customWidth="1"/>
  </x:cols>
  <x:sheetData>
    <x:row r="1" ht="28" hidden="0" customHeight="1">
      <x:c r="A1" s="17" t="s">
        <x:v>255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  <x:c r="AH1" s="17"/>
      <x:c r="AI1" s="17"/>
      <x:c r="AJ1" s="17"/>
    </x:row>
    <x:row r="2" ht="34" hidden="0" customHeight="1">
      <x:c r="A2" s="18" t="s">
        <x:v>256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  <x:c r="AJ2" s="18"/>
    </x:row>
    <x:row r="4" ht="25.350000381469727" hidden="0">
      <x:c r="A4" s="20" t="s">
        <x:v>257</x:v>
      </x:c>
      <x:c r="B4" s="14" t="s">
        <x:v>258</x:v>
      </x:c>
      <x:c r="C4" s="14" t="s">
        <x:v>259</x:v>
      </x:c>
      <x:c r="D4" s="14" t="s">
        <x:v>260</x:v>
      </x:c>
      <x:c r="E4" s="14" t="s">
        <x:v>261</x:v>
      </x:c>
      <x:c r="F4" s="14" t="s">
        <x:v>262</x:v>
      </x:c>
      <x:c r="G4" s="14" t="s">
        <x:v>263</x:v>
      </x:c>
      <x:c r="H4" s="14" t="s">
        <x:v>264</x:v>
      </x:c>
      <x:c r="I4" s="14" t="s">
        <x:v>265</x:v>
      </x:c>
      <x:c r="J4" s="14" t="s">
        <x:v>266</x:v>
      </x:c>
      <x:c r="K4" s="14" t="s">
        <x:v>267</x:v>
      </x:c>
      <x:c r="L4" s="14" t="s">
        <x:v>268</x:v>
      </x:c>
      <x:c r="M4" s="14" t="s">
        <x:v>269</x:v>
      </x:c>
      <x:c r="N4" s="14" t="s">
        <x:v>270</x:v>
      </x:c>
      <x:c r="O4" s="14" t="s">
        <x:v>271</x:v>
      </x:c>
      <x:c r="P4" s="14" t="s">
        <x:v>272</x:v>
      </x:c>
      <x:c r="Q4" s="14" t="s">
        <x:v>273</x:v>
      </x:c>
      <x:c r="R4" s="14" t="s">
        <x:v>274</x:v>
      </x:c>
      <x:c r="S4" s="14" t="s">
        <x:v>275</x:v>
      </x:c>
      <x:c r="T4" s="14" t="s">
        <x:v>276</x:v>
      </x:c>
      <x:c r="U4" s="14" t="s">
        <x:v>277</x:v>
      </x:c>
      <x:c r="V4" s="14" t="s">
        <x:v>278</x:v>
      </x:c>
      <x:c r="W4" s="14" t="s">
        <x:v>279</x:v>
      </x:c>
      <x:c r="X4" s="14" t="s">
        <x:v>280</x:v>
      </x:c>
      <x:c r="Y4" s="14" t="s">
        <x:v>281</x:v>
      </x:c>
      <x:c r="Z4" s="14" t="s">
        <x:v>282</x:v>
      </x:c>
      <x:c r="AA4" s="14" t="s">
        <x:v>283</x:v>
      </x:c>
      <x:c r="AB4" s="14" t="s">
        <x:v>284</x:v>
      </x:c>
      <x:c r="AC4" s="14" t="s">
        <x:v>285</x:v>
      </x:c>
      <x:c r="AD4" s="14" t="s">
        <x:v>286</x:v>
      </x:c>
      <x:c r="AE4" s="14" t="s">
        <x:v>287</x:v>
      </x:c>
      <x:c r="AF4" s="14" t="s">
        <x:v>288</x:v>
      </x:c>
      <x:c r="AG4" s="14" t="s">
        <x:v>289</x:v>
      </x:c>
      <x:c r="AH4" s="14" t="s">
        <x:v>290</x:v>
      </x:c>
      <x:c r="AI4" s="14" t="s">
        <x:v>291</x:v>
      </x:c>
      <x:c r="AJ4" s="21" t="s">
        <x:v>292</x:v>
      </x:c>
    </x:row>
    <x:row r="5" ht="52" hidden="0" customHeight="1">
      <x:c r="A5" s="7" t="s">
        <x:v>293</x:v>
      </x:c>
      <x:c r="B5" s="7" t="s">
        <x:v>47</x:v>
      </x:c>
      <x:c r="C5" s="7" t="s">
        <x:v>47</x:v>
      </x:c>
      <x:c r="D5" s="7" t="s">
        <x:v>294</x:v>
      </x:c>
      <x:c r="E5" s="7" t="s">
        <x:v>295</x:v>
      </x:c>
      <x:c r="F5" s="7" t="s">
        <x:v>296</x:v>
      </x:c>
      <x:c r="G5" s="8" t="s">
        <x:v>297</x:v>
      </x:c>
      <x:c r="H5" s="8" t="s">
        <x:v>298</x:v>
      </x:c>
      <x:c r="I5" s="8" t="s">
        <x:v>299</x:v>
      </x:c>
      <x:c r="J5" s="8" t="s">
        <x:v>300</x:v>
      </x:c>
      <x:c r="K5" s="7" t="s">
        <x:v>301</x:v>
      </x:c>
      <x:c r="L5" s="8" t="s">
        <x:v>302</x:v>
      </x:c>
      <x:c r="M5" s="8" t="s">
        <x:v>303</x:v>
      </x:c>
      <x:c r="N5" s="8"/>
      <x:c r="O5" s="7" t="s">
        <x:v>304</x:v>
      </x:c>
      <x:c r="P5" s="8" t="s">
        <x:v>305</x:v>
      </x:c>
      <x:c r="Q5" s="7" t="s">
        <x:v>306</x:v>
      </x:c>
      <x:c r="R5" s="7" t="s">
        <x:v>307</x:v>
      </x:c>
      <x:c r="S5" s="7" t="s">
        <x:v>308</x:v>
      </x:c>
      <x:c r="T5" s="8" t="s">
        <x:v>309</x:v>
      </x:c>
      <x:c r="U5" s="8" t="s">
        <x:v>310</x:v>
      </x:c>
      <x:c r="V5" s="7" t="s">
        <x:v>311</x:v>
      </x:c>
      <x:c r="W5" s="7" t="s">
        <x:v>312</x:v>
      </x:c>
      <x:c r="X5" s="7" t="s">
        <x:v>313</x:v>
      </x:c>
      <x:c r="Y5" s="7" t="s">
        <x:v>314</x:v>
      </x:c>
      <x:c r="Z5" s="7" t="s">
        <x:v>26</x:v>
      </x:c>
      <x:c r="AA5" s="7" t="s">
        <x:v>315</x:v>
      </x:c>
      <x:c r="AB5" s="7" t="s">
        <x:v>315</x:v>
      </x:c>
      <x:c r="AC5" s="8"/>
      <x:c r="AD5" s="7" t="s">
        <x:v>316</x:v>
      </x:c>
      <x:c r="AE5" s="7" t="s">
        <x:v>317</x:v>
      </x:c>
      <x:c r="AF5" s="8"/>
      <x:c r="AG5" s="8"/>
      <x:c r="AH5" s="22" t="n">
        <x:f aca="0">IF(AND($Z5="CANCELLED",COUNTIFS('09_风险与决策'!$A$5:$A$100,$AG5,'09_风险与决策'!$B$5:$B$100,"Decision",'09_风险与决策'!$L$5:$L$100,"ACCEPTED")&gt;0),0,1)</x:f>
        <x:v>1</x:v>
      </x:c>
      <x:c r="AI5" s="8" t="s">
        <x:v>318</x:v>
      </x:c>
      <x:c r="AJ5" s="7" t="s">
        <x:v>319</x:v>
      </x:c>
    </x:row>
    <x:row r="6" ht="52" hidden="0" customHeight="1">
      <x:c r="A6" s="9" t="s">
        <x:v>320</x:v>
      </x:c>
      <x:c r="B6" s="9" t="s">
        <x:v>47</x:v>
      </x:c>
      <x:c r="C6" s="9" t="s">
        <x:v>47</x:v>
      </x:c>
      <x:c r="D6" s="9" t="s">
        <x:v>321</x:v>
      </x:c>
      <x:c r="E6" s="10" t="s">
        <x:v>322</x:v>
      </x:c>
      <x:c r="F6" s="9" t="s">
        <x:v>323</x:v>
      </x:c>
      <x:c r="G6" s="10" t="s">
        <x:v>324</x:v>
      </x:c>
      <x:c r="H6" s="10" t="s">
        <x:v>325</x:v>
      </x:c>
      <x:c r="I6" s="10" t="s">
        <x:v>326</x:v>
      </x:c>
      <x:c r="J6" s="10" t="s">
        <x:v>327</x:v>
      </x:c>
      <x:c r="K6" s="9" t="s">
        <x:v>301</x:v>
      </x:c>
      <x:c r="L6" s="10" t="s">
        <x:v>328</x:v>
      </x:c>
      <x:c r="M6" s="10" t="s">
        <x:v>329</x:v>
      </x:c>
      <x:c r="N6" s="10"/>
      <x:c r="O6" s="9" t="s">
        <x:v>330</x:v>
      </x:c>
      <x:c r="P6" s="10" t="s">
        <x:v>331</x:v>
      </x:c>
      <x:c r="Q6" s="10" t="s">
        <x:v>332</x:v>
      </x:c>
      <x:c r="R6" s="9" t="s">
        <x:v>333</x:v>
      </x:c>
      <x:c r="S6" s="9" t="s">
        <x:v>308</x:v>
      </x:c>
      <x:c r="T6" s="10" t="s">
        <x:v>334</x:v>
      </x:c>
      <x:c r="U6" s="10" t="s">
        <x:v>335</x:v>
      </x:c>
      <x:c r="V6" s="9" t="s">
        <x:v>311</x:v>
      </x:c>
      <x:c r="W6" s="9" t="s">
        <x:v>336</x:v>
      </x:c>
      <x:c r="X6" s="9" t="s">
        <x:v>313</x:v>
      </x:c>
      <x:c r="Y6" s="9" t="s">
        <x:v>314</x:v>
      </x:c>
      <x:c r="Z6" s="9" t="s">
        <x:v>26</x:v>
      </x:c>
      <x:c r="AA6" s="9" t="s">
        <x:v>337</x:v>
      </x:c>
      <x:c r="AB6" s="9" t="s">
        <x:v>337</x:v>
      </x:c>
      <x:c r="AC6" s="9" t="s">
        <x:v>338</x:v>
      </x:c>
      <x:c r="AD6" s="9" t="s">
        <x:v>338</x:v>
      </x:c>
      <x:c r="AE6" s="9" t="s">
        <x:v>339</x:v>
      </x:c>
      <x:c r="AF6" s="9" t="s">
        <x:v>340</x:v>
      </x:c>
      <x:c r="AG6" s="10"/>
      <x:c r="AH6" s="23" t="n">
        <x:f aca="0">IF(AND($Z6="CANCELLED",COUNTIFS('09_风险与决策'!$A$5:$A$100,$AG6,'09_风险与决策'!$B$5:$B$100,"Decision",'09_风险与决策'!$L$5:$L$100,"ACCEPTED")&gt;0),0,1)</x:f>
        <x:v>1</x:v>
      </x:c>
      <x:c r="AI6" s="10" t="s">
        <x:v>341</x:v>
      </x:c>
      <x:c r="AJ6" s="9" t="s">
        <x:v>342</x:v>
      </x:c>
    </x:row>
    <x:row r="7" ht="52" hidden="0" customHeight="1">
      <x:c r="A7" s="9" t="s">
        <x:v>343</x:v>
      </x:c>
      <x:c r="B7" s="9" t="s">
        <x:v>320</x:v>
      </x:c>
      <x:c r="C7" s="9" t="s">
        <x:v>47</x:v>
      </x:c>
      <x:c r="D7" s="9" t="s">
        <x:v>344</x:v>
      </x:c>
      <x:c r="E7" s="10" t="s">
        <x:v>345</x:v>
      </x:c>
      <x:c r="F7" s="9" t="s">
        <x:v>346</x:v>
      </x:c>
      <x:c r="G7" s="10" t="s">
        <x:v>347</x:v>
      </x:c>
      <x:c r="H7" s="10" t="s">
        <x:v>348</x:v>
      </x:c>
      <x:c r="I7" s="10" t="s">
        <x:v>349</x:v>
      </x:c>
      <x:c r="J7" s="10" t="s">
        <x:v>350</x:v>
      </x:c>
      <x:c r="K7" s="9" t="s">
        <x:v>351</x:v>
      </x:c>
      <x:c r="L7" s="9" t="s">
        <x:v>352</x:v>
      </x:c>
      <x:c r="M7" s="10" t="s">
        <x:v>353</x:v>
      </x:c>
      <x:c r="N7" s="9" t="s">
        <x:v>320</x:v>
      </x:c>
      <x:c r="O7" s="9" t="s">
        <x:v>354</x:v>
      </x:c>
      <x:c r="P7" s="9" t="s">
        <x:v>355</x:v>
      </x:c>
      <x:c r="Q7" s="10" t="s">
        <x:v>356</x:v>
      </x:c>
      <x:c r="R7" s="9" t="s">
        <x:v>357</x:v>
      </x:c>
      <x:c r="S7" s="9" t="s">
        <x:v>308</x:v>
      </x:c>
      <x:c r="T7" s="10" t="s">
        <x:v>358</x:v>
      </x:c>
      <x:c r="U7" s="10" t="s">
        <x:v>359</x:v>
      </x:c>
      <x:c r="V7" s="9" t="s">
        <x:v>311</x:v>
      </x:c>
      <x:c r="W7" s="9" t="s">
        <x:v>360</x:v>
      </x:c>
      <x:c r="X7" s="9" t="s">
        <x:v>313</x:v>
      </x:c>
      <x:c r="Y7" s="9" t="s">
        <x:v>314</x:v>
      </x:c>
      <x:c r="Z7" s="9" t="s">
        <x:v>26</x:v>
      </x:c>
      <x:c r="AA7" s="10"/>
      <x:c r="AB7" s="9" t="s">
        <x:v>337</x:v>
      </x:c>
      <x:c r="AC7" s="9" t="s">
        <x:v>316</x:v>
      </x:c>
      <x:c r="AD7" s="9" t="s">
        <x:v>316</x:v>
      </x:c>
      <x:c r="AE7" s="9" t="s">
        <x:v>317</x:v>
      </x:c>
      <x:c r="AF7" s="10"/>
      <x:c r="AG7" s="10"/>
      <x:c r="AH7" s="23" t="n">
        <x:f aca="0">IF(AND($Z7="CANCELLED",COUNTIFS('09_风险与决策'!$A$5:$A$100,$AG7,'09_风险与决策'!$B$5:$B$100,"Decision",'09_风险与决策'!$L$5:$L$100,"ACCEPTED")&gt;0),0,1)</x:f>
        <x:v>1</x:v>
      </x:c>
      <x:c r="AI7" s="10" t="s">
        <x:v>361</x:v>
      </x:c>
      <x:c r="AJ7" s="9" t="s">
        <x:v>362</x:v>
      </x:c>
    </x:row>
    <x:row r="8" ht="52" hidden="0" customHeight="1">
      <x:c r="A8" s="9" t="s">
        <x:v>363</x:v>
      </x:c>
      <x:c r="B8" s="9" t="s">
        <x:v>343</x:v>
      </x:c>
      <x:c r="C8" s="9" t="s">
        <x:v>47</x:v>
      </x:c>
      <x:c r="D8" s="9" t="s">
        <x:v>364</x:v>
      </x:c>
      <x:c r="E8" s="10" t="s">
        <x:v>365</x:v>
      </x:c>
      <x:c r="F8" s="9" t="s">
        <x:v>366</x:v>
      </x:c>
      <x:c r="G8" s="10" t="s">
        <x:v>367</x:v>
      </x:c>
      <x:c r="H8" s="9" t="s">
        <x:v>368</x:v>
      </x:c>
      <x:c r="I8" s="9" t="s">
        <x:v>369</x:v>
      </x:c>
      <x:c r="J8" s="10" t="s">
        <x:v>370</x:v>
      </x:c>
      <x:c r="K8" s="9" t="s">
        <x:v>371</x:v>
      </x:c>
      <x:c r="L8" s="10" t="s">
        <x:v>372</x:v>
      </x:c>
      <x:c r="M8" s="9" t="s">
        <x:v>373</x:v>
      </x:c>
      <x:c r="N8" s="9" t="s">
        <x:v>343</x:v>
      </x:c>
      <x:c r="O8" s="9" t="s">
        <x:v>374</x:v>
      </x:c>
      <x:c r="P8" s="10" t="s">
        <x:v>375</x:v>
      </x:c>
      <x:c r="Q8" s="9" t="s">
        <x:v>376</x:v>
      </x:c>
      <x:c r="R8" s="9" t="s">
        <x:v>377</x:v>
      </x:c>
      <x:c r="S8" s="9" t="s">
        <x:v>308</x:v>
      </x:c>
      <x:c r="T8" s="10" t="s">
        <x:v>378</x:v>
      </x:c>
      <x:c r="U8" s="10" t="s">
        <x:v>379</x:v>
      </x:c>
      <x:c r="V8" s="9" t="s">
        <x:v>311</x:v>
      </x:c>
      <x:c r="W8" s="9" t="s">
        <x:v>380</x:v>
      </x:c>
      <x:c r="X8" s="9" t="s">
        <x:v>313</x:v>
      </x:c>
      <x:c r="Y8" s="9" t="s">
        <x:v>381</x:v>
      </x:c>
      <x:c r="Z8" s="9" t="s">
        <x:v>26</x:v>
      </x:c>
      <x:c r="AA8" s="10"/>
      <x:c r="AB8" s="9" t="s">
        <x:v>337</x:v>
      </x:c>
      <x:c r="AC8" s="9" t="s">
        <x:v>316</x:v>
      </x:c>
      <x:c r="AD8" s="9" t="s">
        <x:v>316</x:v>
      </x:c>
      <x:c r="AE8" s="9" t="s">
        <x:v>317</x:v>
      </x:c>
      <x:c r="AF8" s="10"/>
      <x:c r="AG8" s="10"/>
      <x:c r="AH8" s="23" t="n">
        <x:f aca="0">IF(AND($Z8="CANCELLED",COUNTIFS('09_风险与决策'!$A$5:$A$100,$AG8,'09_风险与决策'!$B$5:$B$100,"Decision",'09_风险与决策'!$L$5:$L$100,"ACCEPTED")&gt;0),0,1)</x:f>
        <x:v>1</x:v>
      </x:c>
      <x:c r="AI8" s="9" t="s">
        <x:v>382</x:v>
      </x:c>
      <x:c r="AJ8" s="9" t="s">
        <x:v>362</x:v>
      </x:c>
    </x:row>
    <x:row r="9" ht="52" hidden="0" customHeight="1">
      <x:c r="A9" s="9" t="s">
        <x:v>383</x:v>
      </x:c>
      <x:c r="B9" s="9" t="s">
        <x:v>384</x:v>
      </x:c>
      <x:c r="C9" s="9" t="s">
        <x:v>384</x:v>
      </x:c>
      <x:c r="D9" s="10" t="s">
        <x:v>385</x:v>
      </x:c>
      <x:c r="E9" s="10" t="s">
        <x:v>386</x:v>
      </x:c>
      <x:c r="F9" s="9" t="s">
        <x:v>387</x:v>
      </x:c>
      <x:c r="G9" s="10" t="s">
        <x:v>388</x:v>
      </x:c>
      <x:c r="H9" s="9" t="s">
        <x:v>389</x:v>
      </x:c>
      <x:c r="I9" s="10" t="s">
        <x:v>390</x:v>
      </x:c>
      <x:c r="J9" s="10" t="s">
        <x:v>391</x:v>
      </x:c>
      <x:c r="K9" s="9" t="s">
        <x:v>392</x:v>
      </x:c>
      <x:c r="L9" s="9" t="s">
        <x:v>393</x:v>
      </x:c>
      <x:c r="M9" s="10" t="s">
        <x:v>394</x:v>
      </x:c>
      <x:c r="N9" s="10"/>
      <x:c r="O9" s="9" t="s">
        <x:v>395</x:v>
      </x:c>
      <x:c r="P9" s="9" t="s">
        <x:v>396</x:v>
      </x:c>
      <x:c r="Q9" s="10" t="s">
        <x:v>397</x:v>
      </x:c>
      <x:c r="R9" s="9" t="s">
        <x:v>398</x:v>
      </x:c>
      <x:c r="S9" s="9" t="s">
        <x:v>308</x:v>
      </x:c>
      <x:c r="T9" s="10" t="s">
        <x:v>399</x:v>
      </x:c>
      <x:c r="U9" s="10" t="s">
        <x:v>400</x:v>
      </x:c>
      <x:c r="V9" s="9" t="s">
        <x:v>311</x:v>
      </x:c>
      <x:c r="W9" s="9" t="s">
        <x:v>336</x:v>
      </x:c>
      <x:c r="X9" s="9" t="s">
        <x:v>313</x:v>
      </x:c>
      <x:c r="Y9" s="9" t="s">
        <x:v>314</x:v>
      </x:c>
      <x:c r="Z9" s="9" t="s">
        <x:v>26</x:v>
      </x:c>
      <x:c r="AA9" s="9" t="s">
        <x:v>337</x:v>
      </x:c>
      <x:c r="AB9" s="9" t="s">
        <x:v>337</x:v>
      </x:c>
      <x:c r="AC9" s="9" t="s">
        <x:v>338</x:v>
      </x:c>
      <x:c r="AD9" s="9" t="s">
        <x:v>338</x:v>
      </x:c>
      <x:c r="AE9" s="9" t="s">
        <x:v>401</x:v>
      </x:c>
      <x:c r="AF9" s="9" t="s">
        <x:v>402</x:v>
      </x:c>
      <x:c r="AG9" s="10"/>
      <x:c r="AH9" s="23" t="n">
        <x:f aca="0">IF(AND($Z9="CANCELLED",COUNTIFS('09_风险与决策'!$A$5:$A$100,$AG9,'09_风险与决策'!$B$5:$B$100,"Decision",'09_风险与决策'!$L$5:$L$100,"ACCEPTED")&gt;0),0,1)</x:f>
        <x:v>1</x:v>
      </x:c>
      <x:c r="AI9" s="10" t="s">
        <x:v>403</x:v>
      </x:c>
      <x:c r="AJ9" s="10"/>
    </x:row>
    <x:row r="10" ht="52" hidden="0" customHeight="1">
      <x:c r="A10" s="9" t="s">
        <x:v>404</x:v>
      </x:c>
      <x:c r="B10" s="9" t="s">
        <x:v>405</x:v>
      </x:c>
      <x:c r="C10" s="9" t="s">
        <x:v>49</x:v>
      </x:c>
      <x:c r="D10" s="9" t="s">
        <x:v>406</x:v>
      </x:c>
      <x:c r="E10" s="10" t="s">
        <x:v>407</x:v>
      </x:c>
      <x:c r="F10" s="9" t="s">
        <x:v>408</x:v>
      </x:c>
      <x:c r="G10" s="10" t="s">
        <x:v>409</x:v>
      </x:c>
      <x:c r="H10" s="9" t="s">
        <x:v>410</x:v>
      </x:c>
      <x:c r="I10" s="9" t="s">
        <x:v>411</x:v>
      </x:c>
      <x:c r="J10" s="10" t="s">
        <x:v>412</x:v>
      </x:c>
      <x:c r="K10" s="10" t="s">
        <x:v>413</x:v>
      </x:c>
      <x:c r="L10" s="9" t="s">
        <x:v>414</x:v>
      </x:c>
      <x:c r="M10" s="9" t="s">
        <x:v>411</x:v>
      </x:c>
      <x:c r="N10" s="9" t="s">
        <x:v>363</x:v>
      </x:c>
      <x:c r="O10" s="9" t="s">
        <x:v>415</x:v>
      </x:c>
      <x:c r="P10" s="9" t="s">
        <x:v>416</x:v>
      </x:c>
      <x:c r="Q10" s="10" t="s">
        <x:v>417</x:v>
      </x:c>
      <x:c r="R10" s="9" t="s">
        <x:v>418</x:v>
      </x:c>
      <x:c r="S10" s="9" t="s">
        <x:v>308</x:v>
      </x:c>
      <x:c r="T10" s="10" t="s">
        <x:v>419</x:v>
      </x:c>
      <x:c r="U10" s="10" t="s">
        <x:v>420</x:v>
      </x:c>
      <x:c r="V10" s="9" t="s">
        <x:v>311</x:v>
      </x:c>
      <x:c r="W10" s="9" t="s">
        <x:v>421</x:v>
      </x:c>
      <x:c r="X10" s="9" t="s">
        <x:v>313</x:v>
      </x:c>
      <x:c r="Y10" s="9" t="s">
        <x:v>314</x:v>
      </x:c>
      <x:c r="Z10" s="9" t="str">
        <x:v>VERIFIED</x:v>
      </x:c>
      <x:c r="AA10" s="10"/>
      <x:c r="AB10" s="19" t="s">
        <x:v>337</x:v>
      </x:c>
      <x:c r="AC10" s="19" t="s">
        <x:v>316</x:v>
      </x:c>
      <x:c r="AD10" s="19" t="str">
        <x:v>2026-07-30</x:v>
      </x:c>
      <x:c r="AE10" s="19" t="str">
        <x:v>docs/architecture/V5_SINGLE_UNIT_WAR_FOUNDATION_CONTRACT_V0.md；docs/reports/TXWZS_V5_SINGLE_UNIT_GARRISON_SLICE_001.md；docs/reports/TXWZS_V5_P0_P1_PACKAGE_INDEPENDENT_REVIEW_002.md</x:v>
      </x:c>
      <x:c r="AF10" s="10" t="str">
        <x:v>RVW-V5-P0-P1-002</x:v>
      </x:c>
      <x:c r="AG10" s="10"/>
      <x:c r="AH10" s="23" t="n">
        <x:f aca="0">IF(AND($Z10="CANCELLED",COUNTIFS('09_风险与决策'!$A$5:$A$100,$AG10,'09_风险与决策'!$B$5:$B$100,"Decision",'09_风险与决策'!$L$5:$L$100,"ACCEPTED")&gt;0),0,1)</x:f>
        <x:v>1</x:v>
      </x:c>
      <x:c r="AI10" s="9" t="str">
        <x:v>bd15fca 已由新的独立 reviewer 接受；V5-G0 VERIFIED。该任务验收不提前接受 G1/G2。</x:v>
      </x:c>
      <x:c r="AJ10" s="9" t="s">
        <x:v>422</x:v>
      </x:c>
    </x:row>
    <x:row r="11" ht="52" hidden="0" customHeight="1">
      <x:c r="A11" s="9" t="s">
        <x:v>423</x:v>
      </x:c>
      <x:c r="B11" s="9" t="s">
        <x:v>405</x:v>
      </x:c>
      <x:c r="C11" s="9" t="s">
        <x:v>49</x:v>
      </x:c>
      <x:c r="D11" s="9" t="s">
        <x:v>406</x:v>
      </x:c>
      <x:c r="E11" s="10" t="s">
        <x:v>424</x:v>
      </x:c>
      <x:c r="F11" s="9" t="s">
        <x:v>425</x:v>
      </x:c>
      <x:c r="G11" s="10" t="s">
        <x:v>426</x:v>
      </x:c>
      <x:c r="H11" s="9" t="s">
        <x:v>410</x:v>
      </x:c>
      <x:c r="I11" s="10" t="s">
        <x:v>427</x:v>
      </x:c>
      <x:c r="J11" s="10" t="s">
        <x:v>412</x:v>
      </x:c>
      <x:c r="K11" s="10" t="s">
        <x:v>413</x:v>
      </x:c>
      <x:c r="L11" s="9" t="s">
        <x:v>414</x:v>
      </x:c>
      <x:c r="M11" s="10" t="s">
        <x:v>427</x:v>
      </x:c>
      <x:c r="N11" s="9" t="s">
        <x:v>404</x:v>
      </x:c>
      <x:c r="O11" s="9" t="s">
        <x:v>428</x:v>
      </x:c>
      <x:c r="P11" s="10" t="s">
        <x:v>429</x:v>
      </x:c>
      <x:c r="Q11" s="10" t="s">
        <x:v>417</x:v>
      </x:c>
      <x:c r="R11" s="9" t="s">
        <x:v>430</x:v>
      </x:c>
      <x:c r="S11" s="9" t="s">
        <x:v>308</x:v>
      </x:c>
      <x:c r="T11" s="10" t="s">
        <x:v>419</x:v>
      </x:c>
      <x:c r="U11" s="10" t="s">
        <x:v>420</x:v>
      </x:c>
      <x:c r="V11" s="9" t="s">
        <x:v>311</x:v>
      </x:c>
      <x:c r="W11" s="9" t="s">
        <x:v>431</x:v>
      </x:c>
      <x:c r="X11" s="9" t="s">
        <x:v>313</x:v>
      </x:c>
      <x:c r="Y11" s="9" t="s">
        <x:v>432</x:v>
      </x:c>
      <x:c r="Z11" s="9" t="str">
        <x:v>VERIFIED</x:v>
      </x:c>
      <x:c r="AA11" s="10"/>
      <x:c r="AB11" s="19" t="s">
        <x:v>337</x:v>
      </x:c>
      <x:c r="AC11" s="19" t="s">
        <x:v>316</x:v>
      </x:c>
      <x:c r="AD11" s="19" t="str">
        <x:v>2026-07-30</x:v>
      </x:c>
      <x:c r="AE11" s="19" t="str">
        <x:v>docs/architecture/V5_SINGLE_UNIT_WAR_FOUNDATION_CONTRACT_V0.md；docs/reports/TXWZS_V5_SINGLE_UNIT_GARRISON_SLICE_001.md；docs/reports/TXWZS_V5_P0_P1_PACKAGE_INDEPENDENT_REVIEW_002.md</x:v>
      </x:c>
      <x:c r="AF11" s="10" t="str">
        <x:v>RVW-V5-P0-P1-002</x:v>
      </x:c>
      <x:c r="AG11" s="10"/>
      <x:c r="AH11" s="23" t="n">
        <x:f aca="0">IF(AND($Z11="CANCELLED",COUNTIFS('09_风险与决策'!$A$5:$A$100,$AG11,'09_风险与决策'!$B$5:$B$100,"Decision",'09_风险与决策'!$L$5:$L$100,"ACCEPTED")&gt;0),0,1)</x:f>
        <x:v>1</x:v>
      </x:c>
      <x:c r="AI11" s="19" t="str">
        <x:v>bd15fca 已由新的独立 reviewer 接受；V5-G0 VERIFIED。该任务验收不提前接受 G1/G2。</x:v>
      </x:c>
      <x:c r="AJ11" s="9" t="s">
        <x:v>433</x:v>
      </x:c>
    </x:row>
    <x:row r="12" ht="52" hidden="0" customHeight="1">
      <x:c r="A12" s="9" t="s">
        <x:v>434</x:v>
      </x:c>
      <x:c r="B12" s="9" t="s">
        <x:v>405</x:v>
      </x:c>
      <x:c r="C12" s="9" t="s">
        <x:v>49</x:v>
      </x:c>
      <x:c r="D12" s="9" t="s">
        <x:v>406</x:v>
      </x:c>
      <x:c r="E12" s="10" t="s">
        <x:v>435</x:v>
      </x:c>
      <x:c r="F12" s="9" t="s">
        <x:v>425</x:v>
      </x:c>
      <x:c r="G12" s="10" t="s">
        <x:v>436</x:v>
      </x:c>
      <x:c r="H12" s="9" t="s">
        <x:v>410</x:v>
      </x:c>
      <x:c r="I12" s="10" t="s">
        <x:v>437</x:v>
      </x:c>
      <x:c r="J12" s="10" t="s">
        <x:v>412</x:v>
      </x:c>
      <x:c r="K12" s="10" t="s">
        <x:v>413</x:v>
      </x:c>
      <x:c r="L12" s="9" t="s">
        <x:v>414</x:v>
      </x:c>
      <x:c r="M12" s="10" t="s">
        <x:v>437</x:v>
      </x:c>
      <x:c r="N12" s="9" t="s">
        <x:v>423</x:v>
      </x:c>
      <x:c r="O12" s="9" t="s">
        <x:v>428</x:v>
      </x:c>
      <x:c r="P12" s="10" t="s">
        <x:v>438</x:v>
      </x:c>
      <x:c r="Q12" s="10" t="s">
        <x:v>417</x:v>
      </x:c>
      <x:c r="R12" s="9" t="s">
        <x:v>439</x:v>
      </x:c>
      <x:c r="S12" s="9" t="s">
        <x:v>308</x:v>
      </x:c>
      <x:c r="T12" s="10" t="s">
        <x:v>419</x:v>
      </x:c>
      <x:c r="U12" s="10" t="s">
        <x:v>420</x:v>
      </x:c>
      <x:c r="V12" s="9" t="s">
        <x:v>311</x:v>
      </x:c>
      <x:c r="W12" s="9" t="s">
        <x:v>431</x:v>
      </x:c>
      <x:c r="X12" s="9" t="s">
        <x:v>313</x:v>
      </x:c>
      <x:c r="Y12" s="9" t="s">
        <x:v>314</x:v>
      </x:c>
      <x:c r="Z12" s="9" t="str">
        <x:v>VERIFIED</x:v>
      </x:c>
      <x:c r="AA12" s="10"/>
      <x:c r="AB12" s="19" t="s">
        <x:v>337</x:v>
      </x:c>
      <x:c r="AC12" s="19" t="s">
        <x:v>316</x:v>
      </x:c>
      <x:c r="AD12" s="19" t="str">
        <x:v>2026-07-30</x:v>
      </x:c>
      <x:c r="AE12" s="19" t="str">
        <x:v>docs/architecture/V5_SINGLE_UNIT_WAR_FOUNDATION_CONTRACT_V0.md；docs/reports/TXWZS_V5_SINGLE_UNIT_GARRISON_SLICE_001.md；docs/reports/TXWZS_V5_P0_P1_PACKAGE_INDEPENDENT_REVIEW_002.md</x:v>
      </x:c>
      <x:c r="AF12" s="10" t="str">
        <x:v>RVW-V5-P0-P1-002</x:v>
      </x:c>
      <x:c r="AG12" s="10"/>
      <x:c r="AH12" s="23" t="n">
        <x:f aca="0">IF(AND($Z12="CANCELLED",COUNTIFS('09_风险与决策'!$A$5:$A$100,$AG12,'09_风险与决策'!$B$5:$B$100,"Decision",'09_风险与决策'!$L$5:$L$100,"ACCEPTED")&gt;0),0,1)</x:f>
        <x:v>1</x:v>
      </x:c>
      <x:c r="AI12" s="19" t="str">
        <x:v>bd15fca 已由新的独立 reviewer 接受；V5-G0 VERIFIED。该任务验收不提前接受 G1/G2。</x:v>
      </x:c>
      <x:c r="AJ12" s="9" t="s">
        <x:v>433</x:v>
      </x:c>
    </x:row>
    <x:row r="13" ht="52" hidden="0" customHeight="1">
      <x:c r="A13" s="9" t="s">
        <x:v>440</x:v>
      </x:c>
      <x:c r="B13" s="9" t="s">
        <x:v>405</x:v>
      </x:c>
      <x:c r="C13" s="9" t="s">
        <x:v>49</x:v>
      </x:c>
      <x:c r="D13" s="9" t="s">
        <x:v>406</x:v>
      </x:c>
      <x:c r="E13" s="10" t="s">
        <x:v>441</x:v>
      </x:c>
      <x:c r="F13" s="9" t="s">
        <x:v>425</x:v>
      </x:c>
      <x:c r="G13" s="10" t="s">
        <x:v>442</x:v>
      </x:c>
      <x:c r="H13" s="9" t="s">
        <x:v>410</x:v>
      </x:c>
      <x:c r="I13" s="10" t="s">
        <x:v>443</x:v>
      </x:c>
      <x:c r="J13" s="10" t="s">
        <x:v>412</x:v>
      </x:c>
      <x:c r="K13" s="10" t="s">
        <x:v>413</x:v>
      </x:c>
      <x:c r="L13" s="9" t="s">
        <x:v>414</x:v>
      </x:c>
      <x:c r="M13" s="10" t="s">
        <x:v>443</x:v>
      </x:c>
      <x:c r="N13" s="9" t="s">
        <x:v>423</x:v>
      </x:c>
      <x:c r="O13" s="9" t="s">
        <x:v>428</x:v>
      </x:c>
      <x:c r="P13" s="10" t="s">
        <x:v>444</x:v>
      </x:c>
      <x:c r="Q13" s="10" t="s">
        <x:v>417</x:v>
      </x:c>
      <x:c r="R13" s="9" t="s">
        <x:v>445</x:v>
      </x:c>
      <x:c r="S13" s="9" t="s">
        <x:v>308</x:v>
      </x:c>
      <x:c r="T13" s="10" t="s">
        <x:v>419</x:v>
      </x:c>
      <x:c r="U13" s="10" t="s">
        <x:v>420</x:v>
      </x:c>
      <x:c r="V13" s="9" t="s">
        <x:v>311</x:v>
      </x:c>
      <x:c r="W13" s="9" t="s">
        <x:v>431</x:v>
      </x:c>
      <x:c r="X13" s="9" t="s">
        <x:v>313</x:v>
      </x:c>
      <x:c r="Y13" s="9" t="s">
        <x:v>432</x:v>
      </x:c>
      <x:c r="Z13" s="9" t="str">
        <x:v>VERIFIED</x:v>
      </x:c>
      <x:c r="AA13" s="10"/>
      <x:c r="AB13" s="19" t="s">
        <x:v>337</x:v>
      </x:c>
      <x:c r="AC13" s="19" t="s">
        <x:v>316</x:v>
      </x:c>
      <x:c r="AD13" s="19" t="str">
        <x:v>2026-07-30</x:v>
      </x:c>
      <x:c r="AE13" s="19" t="str">
        <x:v>docs/architecture/V5_SINGLE_UNIT_WAR_FOUNDATION_CONTRACT_V0.md；docs/reports/TXWZS_V5_SINGLE_UNIT_GARRISON_SLICE_001.md；docs/reports/TXWZS_V5_P0_P1_PACKAGE_INDEPENDENT_REVIEW_002.md</x:v>
      </x:c>
      <x:c r="AF13" s="10" t="str">
        <x:v>RVW-V5-P0-P1-002</x:v>
      </x:c>
      <x:c r="AG13" s="10"/>
      <x:c r="AH13" s="23" t="n">
        <x:f aca="0">IF(AND($Z13="CANCELLED",COUNTIFS('09_风险与决策'!$A$5:$A$100,$AG13,'09_风险与决策'!$B$5:$B$100,"Decision",'09_风险与决策'!$L$5:$L$100,"ACCEPTED")&gt;0),0,1)</x:f>
        <x:v>1</x:v>
      </x:c>
      <x:c r="AI13" s="19" t="str">
        <x:v>bd15fca 已由新的独立 reviewer 接受；V5-G0 VERIFIED。该任务验收不提前接受 G1/G2。</x:v>
      </x:c>
      <x:c r="AJ13" s="9" t="s">
        <x:v>433</x:v>
      </x:c>
    </x:row>
    <x:row r="14" ht="52" hidden="0" customHeight="1">
      <x:c r="A14" s="9" t="s">
        <x:v>446</x:v>
      </x:c>
      <x:c r="B14" s="9" t="s">
        <x:v>405</x:v>
      </x:c>
      <x:c r="C14" s="9" t="s">
        <x:v>49</x:v>
      </x:c>
      <x:c r="D14" s="9" t="s">
        <x:v>406</x:v>
      </x:c>
      <x:c r="E14" s="10" t="s">
        <x:v>447</x:v>
      </x:c>
      <x:c r="F14" s="9" t="s">
        <x:v>387</x:v>
      </x:c>
      <x:c r="G14" s="10" t="s">
        <x:v>448</x:v>
      </x:c>
      <x:c r="H14" s="9" t="s">
        <x:v>410</x:v>
      </x:c>
      <x:c r="I14" s="9" t="s">
        <x:v>449</x:v>
      </x:c>
      <x:c r="J14" s="10" t="s">
        <x:v>412</x:v>
      </x:c>
      <x:c r="K14" s="10" t="s">
        <x:v>413</x:v>
      </x:c>
      <x:c r="L14" s="9" t="s">
        <x:v>414</x:v>
      </x:c>
      <x:c r="M14" s="9" t="s">
        <x:v>449</x:v>
      </x:c>
      <x:c r="N14" s="9" t="s">
        <x:v>404</x:v>
      </x:c>
      <x:c r="O14" s="9" t="s">
        <x:v>428</x:v>
      </x:c>
      <x:c r="P14" s="9" t="s">
        <x:v>450</x:v>
      </x:c>
      <x:c r="Q14" s="10" t="s">
        <x:v>417</x:v>
      </x:c>
      <x:c r="R14" s="9" t="s">
        <x:v>451</x:v>
      </x:c>
      <x:c r="S14" s="9" t="s">
        <x:v>308</x:v>
      </x:c>
      <x:c r="T14" s="10" t="s">
        <x:v>419</x:v>
      </x:c>
      <x:c r="U14" s="10" t="s">
        <x:v>420</x:v>
      </x:c>
      <x:c r="V14" s="9" t="s">
        <x:v>311</x:v>
      </x:c>
      <x:c r="W14" s="9" t="s">
        <x:v>421</x:v>
      </x:c>
      <x:c r="X14" s="9" t="s">
        <x:v>452</x:v>
      </x:c>
      <x:c r="Y14" s="9" t="s">
        <x:v>381</x:v>
      </x:c>
      <x:c r="Z14" s="9" t="str">
        <x:v>VERIFIED</x:v>
      </x:c>
      <x:c r="AA14" s="10"/>
      <x:c r="AB14" s="19" t="s">
        <x:v>337</x:v>
      </x:c>
      <x:c r="AC14" s="19" t="s">
        <x:v>316</x:v>
      </x:c>
      <x:c r="AD14" s="19" t="str">
        <x:v>2026-07-30</x:v>
      </x:c>
      <x:c r="AE14" s="19" t="str">
        <x:v>docs/architecture/V5_SINGLE_UNIT_WAR_FOUNDATION_CONTRACT_V0.md；docs/reports/TXWZS_V5_SINGLE_UNIT_GARRISON_SLICE_001.md；docs/reports/TXWZS_V5_P0_P1_PACKAGE_INDEPENDENT_REVIEW_002.md</x:v>
      </x:c>
      <x:c r="AF14" s="10" t="str">
        <x:v>RVW-V5-P0-P1-002</x:v>
      </x:c>
      <x:c r="AG14" s="10"/>
      <x:c r="AH14" s="23" t="n">
        <x:f aca="0">IF(AND($Z14="CANCELLED",COUNTIFS('09_风险与决策'!$A$5:$A$100,$AG14,'09_风险与决策'!$B$5:$B$100,"Decision",'09_风险与决策'!$L$5:$L$100,"ACCEPTED")&gt;0),0,1)</x:f>
        <x:v>1</x:v>
      </x:c>
      <x:c r="AI14" s="19" t="str">
        <x:v>bd15fca 已由新的独立 reviewer 接受；V5-G0 VERIFIED。该任务验收不提前接受 G1/G2。</x:v>
      </x:c>
      <x:c r="AJ14" s="9" t="s">
        <x:v>433</x:v>
      </x:c>
    </x:row>
    <x:row r="15" ht="52" hidden="0" customHeight="1">
      <x:c r="A15" s="9" t="s">
        <x:v>453</x:v>
      </x:c>
      <x:c r="B15" s="9" t="s">
        <x:v>454</x:v>
      </x:c>
      <x:c r="C15" s="9" t="s">
        <x:v>49</x:v>
      </x:c>
      <x:c r="D15" s="9" t="s">
        <x:v>455</x:v>
      </x:c>
      <x:c r="E15" s="10" t="s">
        <x:v>456</x:v>
      </x:c>
      <x:c r="F15" s="9" t="s">
        <x:v>296</x:v>
      </x:c>
      <x:c r="G15" s="10" t="s">
        <x:v>457</x:v>
      </x:c>
      <x:c r="H15" s="9" t="s">
        <x:v>410</x:v>
      </x:c>
      <x:c r="I15" s="10" t="s">
        <x:v>458</x:v>
      </x:c>
      <x:c r="J15" s="10" t="s">
        <x:v>412</x:v>
      </x:c>
      <x:c r="K15" s="10" t="s">
        <x:v>413</x:v>
      </x:c>
      <x:c r="L15" s="9" t="s">
        <x:v>414</x:v>
      </x:c>
      <x:c r="M15" s="10" t="s">
        <x:v>458</x:v>
      </x:c>
      <x:c r="N15" s="9" t="s">
        <x:v>434</x:v>
      </x:c>
      <x:c r="O15" s="9" t="s">
        <x:v>459</x:v>
      </x:c>
      <x:c r="P15" s="10" t="s">
        <x:v>460</x:v>
      </x:c>
      <x:c r="Q15" s="10" t="s">
        <x:v>417</x:v>
      </x:c>
      <x:c r="R15" s="9" t="s">
        <x:v>461</x:v>
      </x:c>
      <x:c r="S15" s="9" t="s">
        <x:v>308</x:v>
      </x:c>
      <x:c r="T15" s="10" t="s">
        <x:v>419</x:v>
      </x:c>
      <x:c r="U15" s="10" t="s">
        <x:v>420</x:v>
      </x:c>
      <x:c r="V15" s="9" t="s">
        <x:v>311</x:v>
      </x:c>
      <x:c r="W15" s="9" t="s">
        <x:v>421</x:v>
      </x:c>
      <x:c r="X15" s="9" t="s">
        <x:v>452</x:v>
      </x:c>
      <x:c r="Y15" s="9" t="s">
        <x:v>381</x:v>
      </x:c>
      <x:c r="Z15" s="9" t="str">
        <x:v>VERIFIED</x:v>
      </x:c>
      <x:c r="AA15" s="10"/>
      <x:c r="AB15" s="19" t="s">
        <x:v>337</x:v>
      </x:c>
      <x:c r="AC15" s="19" t="s">
        <x:v>316</x:v>
      </x:c>
      <x:c r="AD15" s="19" t="str">
        <x:v>2026-07-30</x:v>
      </x:c>
      <x:c r="AE15" s="19" t="str">
        <x:v>docs/reports/TXWZS_V5_SINGLE_UNIT_GARRISON_SLICE_001.md；docs/reports/TXWZS_V5_P0_P1_PACKAGE_INDEPENDENT_REVIEW_002.md</x:v>
      </x:c>
      <x:c r="AF15" s="10" t="str">
        <x:v>RVW-V5-P0-P1-002</x:v>
      </x:c>
      <x:c r="AG15" s="10"/>
      <x:c r="AH15" s="23" t="n">
        <x:f aca="0">IF(AND($Z15="CANCELLED",COUNTIFS('09_风险与决策'!$A$5:$A$100,$AG15,'09_风险与决策'!$B$5:$B$100,"Decision",'09_风险与决策'!$L$5:$L$100,"ACCEPTED")&gt;0),0,1)</x:f>
        <x:v>1</x:v>
      </x:c>
      <x:c r="AI15" s="10" t="str">
        <x:v>bd15fca 已由新的独立 reviewer 接受；V5-G0 VERIFIED。该任务验收不提前接受 G1/G2。</x:v>
      </x:c>
      <x:c r="AJ15" s="9" t="s">
        <x:v>462</x:v>
      </x:c>
    </x:row>
    <x:row r="16" ht="52" hidden="0" customHeight="1">
      <x:c r="A16" s="9" t="s">
        <x:v>463</x:v>
      </x:c>
      <x:c r="B16" s="9" t="s">
        <x:v>454</x:v>
      </x:c>
      <x:c r="C16" s="9" t="s">
        <x:v>49</x:v>
      </x:c>
      <x:c r="D16" s="9" t="s">
        <x:v>455</x:v>
      </x:c>
      <x:c r="E16" s="10" t="s">
        <x:v>464</x:v>
      </x:c>
      <x:c r="F16" s="9" t="s">
        <x:v>296</x:v>
      </x:c>
      <x:c r="G16" s="10" t="s">
        <x:v>465</x:v>
      </x:c>
      <x:c r="H16" s="9" t="s">
        <x:v>410</x:v>
      </x:c>
      <x:c r="I16" s="10" t="s">
        <x:v>466</x:v>
      </x:c>
      <x:c r="J16" s="10" t="s">
        <x:v>412</x:v>
      </x:c>
      <x:c r="K16" s="10" t="s">
        <x:v>413</x:v>
      </x:c>
      <x:c r="L16" s="9" t="s">
        <x:v>414</x:v>
      </x:c>
      <x:c r="M16" s="10" t="s">
        <x:v>466</x:v>
      </x:c>
      <x:c r="N16" s="9" t="s">
        <x:v>467</x:v>
      </x:c>
      <x:c r="O16" s="9" t="s">
        <x:v>459</x:v>
      </x:c>
      <x:c r="P16" s="10" t="s">
        <x:v>468</x:v>
      </x:c>
      <x:c r="Q16" s="10" t="s">
        <x:v>417</x:v>
      </x:c>
      <x:c r="R16" s="9" t="s">
        <x:v>469</x:v>
      </x:c>
      <x:c r="S16" s="9" t="s">
        <x:v>308</x:v>
      </x:c>
      <x:c r="T16" s="10" t="s">
        <x:v>419</x:v>
      </x:c>
      <x:c r="U16" s="10" t="s">
        <x:v>420</x:v>
      </x:c>
      <x:c r="V16" s="9" t="s">
        <x:v>311</x:v>
      </x:c>
      <x:c r="W16" s="9" t="s">
        <x:v>421</x:v>
      </x:c>
      <x:c r="X16" s="9" t="s">
        <x:v>313</x:v>
      </x:c>
      <x:c r="Y16" s="9" t="s">
        <x:v>432</x:v>
      </x:c>
      <x:c r="Z16" s="9" t="str">
        <x:v>VERIFIED</x:v>
      </x:c>
      <x:c r="AA16" s="10"/>
      <x:c r="AB16" s="19" t="s">
        <x:v>337</x:v>
      </x:c>
      <x:c r="AC16" s="19" t="s">
        <x:v>316</x:v>
      </x:c>
      <x:c r="AD16" s="19" t="str">
        <x:v>2026-07-30</x:v>
      </x:c>
      <x:c r="AE16" s="19" t="str">
        <x:v>docs/reports/TXWZS_V5_SINGLE_UNIT_GARRISON_SLICE_001.md；docs/reports/TXWZS_V5_P0_P1_PACKAGE_INDEPENDENT_REVIEW_002.md</x:v>
      </x:c>
      <x:c r="AF16" s="10" t="str">
        <x:v>RVW-V5-P0-P1-002</x:v>
      </x:c>
      <x:c r="AG16" s="10"/>
      <x:c r="AH16" s="23" t="n">
        <x:f aca="0">IF(AND($Z16="CANCELLED",COUNTIFS('09_风险与决策'!$A$5:$A$100,$AG16,'09_风险与决策'!$B$5:$B$100,"Decision",'09_风险与决策'!$L$5:$L$100,"ACCEPTED")&gt;0),0,1)</x:f>
        <x:v>1</x:v>
      </x:c>
      <x:c r="AI16" s="10" t="str">
        <x:v>bd15fca 已由新的独立 reviewer 接受；V5-G0 VERIFIED。该任务验收不提前接受 G1/G2。</x:v>
      </x:c>
      <x:c r="AJ16" s="9" t="s">
        <x:v>462</x:v>
      </x:c>
    </x:row>
    <x:row r="17" ht="52" hidden="0" customHeight="1">
      <x:c r="A17" s="9" t="s">
        <x:v>470</x:v>
      </x:c>
      <x:c r="B17" s="9" t="s">
        <x:v>454</x:v>
      </x:c>
      <x:c r="C17" s="9" t="s">
        <x:v>49</x:v>
      </x:c>
      <x:c r="D17" s="9" t="s">
        <x:v>455</x:v>
      </x:c>
      <x:c r="E17" s="10" t="s">
        <x:v>471</x:v>
      </x:c>
      <x:c r="F17" s="9" t="s">
        <x:v>425</x:v>
      </x:c>
      <x:c r="G17" s="10" t="s">
        <x:v>472</x:v>
      </x:c>
      <x:c r="H17" s="9" t="s">
        <x:v>410</x:v>
      </x:c>
      <x:c r="I17" s="10" t="s">
        <x:v>473</x:v>
      </x:c>
      <x:c r="J17" s="10" t="s">
        <x:v>412</x:v>
      </x:c>
      <x:c r="K17" s="10" t="s">
        <x:v>413</x:v>
      </x:c>
      <x:c r="L17" s="9" t="s">
        <x:v>414</x:v>
      </x:c>
      <x:c r="M17" s="10" t="s">
        <x:v>473</x:v>
      </x:c>
      <x:c r="N17" s="9" t="s">
        <x:v>423</x:v>
      </x:c>
      <x:c r="O17" s="9" t="s">
        <x:v>428</x:v>
      </x:c>
      <x:c r="P17" s="10" t="s">
        <x:v>474</x:v>
      </x:c>
      <x:c r="Q17" s="10" t="s">
        <x:v>417</x:v>
      </x:c>
      <x:c r="R17" s="9" t="s">
        <x:v>475</x:v>
      </x:c>
      <x:c r="S17" s="9" t="s">
        <x:v>308</x:v>
      </x:c>
      <x:c r="T17" s="10" t="s">
        <x:v>419</x:v>
      </x:c>
      <x:c r="U17" s="10" t="s">
        <x:v>420</x:v>
      </x:c>
      <x:c r="V17" s="9" t="s">
        <x:v>311</x:v>
      </x:c>
      <x:c r="W17" s="9" t="s">
        <x:v>431</x:v>
      </x:c>
      <x:c r="X17" s="9" t="s">
        <x:v>452</x:v>
      </x:c>
      <x:c r="Y17" s="9" t="s">
        <x:v>314</x:v>
      </x:c>
      <x:c r="Z17" s="9" t="str">
        <x:v>VERIFIED</x:v>
      </x:c>
      <x:c r="AA17" s="10"/>
      <x:c r="AB17" s="19" t="s">
        <x:v>337</x:v>
      </x:c>
      <x:c r="AC17" s="19" t="s">
        <x:v>316</x:v>
      </x:c>
      <x:c r="AD17" s="19" t="str">
        <x:v>2026-07-30</x:v>
      </x:c>
      <x:c r="AE17" s="19" t="str">
        <x:v>docs/reports/TXWZS_V5_SINGLE_UNIT_GARRISON_SLICE_001.md；docs/reports/TXWZS_V5_P0_P1_PACKAGE_INDEPENDENT_REVIEW_002.md</x:v>
      </x:c>
      <x:c r="AF17" s="10" t="str">
        <x:v>RVW-V5-P0-P1-002</x:v>
      </x:c>
      <x:c r="AG17" s="10"/>
      <x:c r="AH17" s="23" t="n">
        <x:f aca="0">IF(AND($Z17="CANCELLED",COUNTIFS('09_风险与决策'!$A$5:$A$100,$AG17,'09_风险与决策'!$B$5:$B$100,"Decision",'09_风险与决策'!$L$5:$L$100,"ACCEPTED")&gt;0),0,1)</x:f>
        <x:v>1</x:v>
      </x:c>
      <x:c r="AI17" s="10" t="str">
        <x:v>bd15fca 已由新的独立 reviewer 接受；V5-G0 VERIFIED。该任务验收不提前接受 G1/G2。</x:v>
      </x:c>
      <x:c r="AJ17" s="9" t="s">
        <x:v>476</x:v>
      </x:c>
    </x:row>
    <x:row r="18" ht="52" hidden="0" customHeight="1">
      <x:c r="A18" s="9" t="s">
        <x:v>477</x:v>
      </x:c>
      <x:c r="B18" s="9" t="s">
        <x:v>454</x:v>
      </x:c>
      <x:c r="C18" s="9" t="s">
        <x:v>49</x:v>
      </x:c>
      <x:c r="D18" s="9" t="s">
        <x:v>455</x:v>
      </x:c>
      <x:c r="E18" s="10" t="s">
        <x:v>478</x:v>
      </x:c>
      <x:c r="F18" s="9" t="s">
        <x:v>296</x:v>
      </x:c>
      <x:c r="G18" s="10" t="s">
        <x:v>479</x:v>
      </x:c>
      <x:c r="H18" s="9" t="s">
        <x:v>410</x:v>
      </x:c>
      <x:c r="I18" s="10" t="s">
        <x:v>480</x:v>
      </x:c>
      <x:c r="J18" s="10" t="s">
        <x:v>412</x:v>
      </x:c>
      <x:c r="K18" s="10" t="s">
        <x:v>413</x:v>
      </x:c>
      <x:c r="L18" s="9" t="s">
        <x:v>414</x:v>
      </x:c>
      <x:c r="M18" s="10" t="s">
        <x:v>480</x:v>
      </x:c>
      <x:c r="N18" s="9" t="s">
        <x:v>481</x:v>
      </x:c>
      <x:c r="O18" s="9" t="s">
        <x:v>459</x:v>
      </x:c>
      <x:c r="P18" s="10" t="s">
        <x:v>482</x:v>
      </x:c>
      <x:c r="Q18" s="10" t="s">
        <x:v>417</x:v>
      </x:c>
      <x:c r="R18" s="9" t="s">
        <x:v>483</x:v>
      </x:c>
      <x:c r="S18" s="9" t="s">
        <x:v>308</x:v>
      </x:c>
      <x:c r="T18" s="10" t="s">
        <x:v>419</x:v>
      </x:c>
      <x:c r="U18" s="10" t="s">
        <x:v>420</x:v>
      </x:c>
      <x:c r="V18" s="9" t="s">
        <x:v>311</x:v>
      </x:c>
      <x:c r="W18" s="9" t="s">
        <x:v>421</x:v>
      </x:c>
      <x:c r="X18" s="9" t="s">
        <x:v>313</x:v>
      </x:c>
      <x:c r="Y18" s="9" t="s">
        <x:v>314</x:v>
      </x:c>
      <x:c r="Z18" s="9" t="str">
        <x:v>VERIFIED</x:v>
      </x:c>
      <x:c r="AA18" s="10"/>
      <x:c r="AB18" s="19" t="s">
        <x:v>337</x:v>
      </x:c>
      <x:c r="AC18" s="19" t="s">
        <x:v>316</x:v>
      </x:c>
      <x:c r="AD18" s="19" t="str">
        <x:v>2026-07-30</x:v>
      </x:c>
      <x:c r="AE18" s="19" t="str">
        <x:v>docs/reports/TXWZS_V5_SINGLE_UNIT_GARRISON_SLICE_001.md；docs/reports/TXWZS_V5_P0_P1_PACKAGE_INDEPENDENT_REVIEW_002.md</x:v>
      </x:c>
      <x:c r="AF18" s="10" t="str">
        <x:v>RVW-V5-P0-P1-002</x:v>
      </x:c>
      <x:c r="AG18" s="10"/>
      <x:c r="AH18" s="23" t="n">
        <x:f aca="0">IF(AND($Z18="CANCELLED",COUNTIFS('09_风险与决策'!$A$5:$A$100,$AG18,'09_风险与决策'!$B$5:$B$100,"Decision",'09_风险与决策'!$L$5:$L$100,"ACCEPTED")&gt;0),0,1)</x:f>
        <x:v>1</x:v>
      </x:c>
      <x:c r="AI18" s="10" t="str">
        <x:v>bd15fca 已由新的独立 reviewer 接受；V5-G0 VERIFIED。该任务验收不提前接受 G1/G2。</x:v>
      </x:c>
      <x:c r="AJ18" s="9" t="s">
        <x:v>462</x:v>
      </x:c>
    </x:row>
    <x:row r="19" ht="52" hidden="0" customHeight="1">
      <x:c r="A19" s="9" t="s">
        <x:v>484</x:v>
      </x:c>
      <x:c r="B19" s="9" t="s">
        <x:v>454</x:v>
      </x:c>
      <x:c r="C19" s="9" t="s">
        <x:v>49</x:v>
      </x:c>
      <x:c r="D19" s="9" t="s">
        <x:v>455</x:v>
      </x:c>
      <x:c r="E19" s="10" t="s">
        <x:v>485</x:v>
      </x:c>
      <x:c r="F19" s="9" t="s">
        <x:v>486</x:v>
      </x:c>
      <x:c r="G19" s="10" t="s">
        <x:v>487</x:v>
      </x:c>
      <x:c r="H19" s="9" t="s">
        <x:v>410</x:v>
      </x:c>
      <x:c r="I19" s="10" t="s">
        <x:v>488</x:v>
      </x:c>
      <x:c r="J19" s="10" t="s">
        <x:v>412</x:v>
      </x:c>
      <x:c r="K19" s="10" t="s">
        <x:v>413</x:v>
      </x:c>
      <x:c r="L19" s="9" t="s">
        <x:v>414</x:v>
      </x:c>
      <x:c r="M19" s="10" t="s">
        <x:v>488</x:v>
      </x:c>
      <x:c r="N19" s="9" t="s">
        <x:v>489</x:v>
      </x:c>
      <x:c r="O19" s="9" t="s">
        <x:v>459</x:v>
      </x:c>
      <x:c r="P19" s="10" t="s">
        <x:v>490</x:v>
      </x:c>
      <x:c r="Q19" s="10" t="s">
        <x:v>417</x:v>
      </x:c>
      <x:c r="R19" s="9" t="s">
        <x:v>491</x:v>
      </x:c>
      <x:c r="S19" s="9" t="s">
        <x:v>308</x:v>
      </x:c>
      <x:c r="T19" s="10" t="s">
        <x:v>419</x:v>
      </x:c>
      <x:c r="U19" s="10" t="s">
        <x:v>420</x:v>
      </x:c>
      <x:c r="V19" s="9" t="s">
        <x:v>311</x:v>
      </x:c>
      <x:c r="W19" s="9" t="s">
        <x:v>421</x:v>
      </x:c>
      <x:c r="X19" s="9" t="s">
        <x:v>313</x:v>
      </x:c>
      <x:c r="Y19" s="9" t="s">
        <x:v>314</x:v>
      </x:c>
      <x:c r="Z19" s="9" t="str">
        <x:v>VERIFIED</x:v>
      </x:c>
      <x:c r="AA19" s="10"/>
      <x:c r="AB19" s="19" t="s">
        <x:v>337</x:v>
      </x:c>
      <x:c r="AC19" s="19" t="s">
        <x:v>316</x:v>
      </x:c>
      <x:c r="AD19" s="19" t="str">
        <x:v>2026-07-30</x:v>
      </x:c>
      <x:c r="AE19" s="19" t="str">
        <x:v>docs/reports/TXWZS_V5_SINGLE_UNIT_GARRISON_SLICE_001.md；docs/reports/TXWZS_V5_P0_P1_PACKAGE_INDEPENDENT_REVIEW_002.md</x:v>
      </x:c>
      <x:c r="AF19" s="10" t="str">
        <x:v>RVW-V5-P0-P1-002</x:v>
      </x:c>
      <x:c r="AG19" s="10"/>
      <x:c r="AH19" s="23" t="n">
        <x:f aca="0">IF(AND($Z19="CANCELLED",COUNTIFS('09_风险与决策'!$A$5:$A$100,$AG19,'09_风险与决策'!$B$5:$B$100,"Decision",'09_风险与决策'!$L$5:$L$100,"ACCEPTED")&gt;0),0,1)</x:f>
        <x:v>1</x:v>
      </x:c>
      <x:c r="AI19" s="10" t="str">
        <x:v>bd15fca 已由新的独立 reviewer 接受；V5-G0 VERIFIED。该任务验收不提前接受 G1/G2。</x:v>
      </x:c>
      <x:c r="AJ19" s="9" t="s">
        <x:v>462</x:v>
      </x:c>
    </x:row>
    <x:row r="20" ht="52" hidden="0" customHeight="1">
      <x:c r="A20" s="9" t="s">
        <x:v>492</x:v>
      </x:c>
      <x:c r="B20" s="9" t="s">
        <x:v>454</x:v>
      </x:c>
      <x:c r="C20" s="9" t="s">
        <x:v>49</x:v>
      </x:c>
      <x:c r="D20" s="9" t="s">
        <x:v>455</x:v>
      </x:c>
      <x:c r="E20" s="10" t="s">
        <x:v>493</x:v>
      </x:c>
      <x:c r="F20" s="9" t="s">
        <x:v>494</x:v>
      </x:c>
      <x:c r="G20" s="9" t="s">
        <x:v>495</x:v>
      </x:c>
      <x:c r="H20" s="9" t="s">
        <x:v>410</x:v>
      </x:c>
      <x:c r="I20" s="10" t="s">
        <x:v>496</x:v>
      </x:c>
      <x:c r="J20" s="10" t="s">
        <x:v>412</x:v>
      </x:c>
      <x:c r="K20" s="10" t="s">
        <x:v>413</x:v>
      </x:c>
      <x:c r="L20" s="9" t="s">
        <x:v>414</x:v>
      </x:c>
      <x:c r="M20" s="10" t="s">
        <x:v>496</x:v>
      </x:c>
      <x:c r="N20" s="9" t="s">
        <x:v>463</x:v>
      </x:c>
      <x:c r="O20" s="9" t="s">
        <x:v>459</x:v>
      </x:c>
      <x:c r="P20" s="10" t="s">
        <x:v>497</x:v>
      </x:c>
      <x:c r="Q20" s="10" t="s">
        <x:v>417</x:v>
      </x:c>
      <x:c r="R20" s="9" t="s">
        <x:v>498</x:v>
      </x:c>
      <x:c r="S20" s="9" t="s">
        <x:v>308</x:v>
      </x:c>
      <x:c r="T20" s="10" t="s">
        <x:v>419</x:v>
      </x:c>
      <x:c r="U20" s="10" t="s">
        <x:v>420</x:v>
      </x:c>
      <x:c r="V20" s="9" t="s">
        <x:v>311</x:v>
      </x:c>
      <x:c r="W20" s="9" t="s">
        <x:v>421</x:v>
      </x:c>
      <x:c r="X20" s="9" t="s">
        <x:v>452</x:v>
      </x:c>
      <x:c r="Y20" s="9" t="s">
        <x:v>314</x:v>
      </x:c>
      <x:c r="Z20" s="9" t="str">
        <x:v>VERIFIED</x:v>
      </x:c>
      <x:c r="AA20" s="10"/>
      <x:c r="AB20" s="19" t="s">
        <x:v>337</x:v>
      </x:c>
      <x:c r="AC20" s="19" t="s">
        <x:v>316</x:v>
      </x:c>
      <x:c r="AD20" s="19" t="str">
        <x:v>2026-07-30</x:v>
      </x:c>
      <x:c r="AE20" s="19" t="str">
        <x:v>docs/reports/TXWZS_V5_SINGLE_UNIT_GARRISON_SLICE_001.md；docs/reports/TXWZS_V5_P0_P1_PACKAGE_INDEPENDENT_REVIEW_002.md</x:v>
      </x:c>
      <x:c r="AF20" s="10" t="str">
        <x:v>RVW-V5-P0-P1-002</x:v>
      </x:c>
      <x:c r="AG20" s="10"/>
      <x:c r="AH20" s="23" t="n">
        <x:f aca="0">IF(AND($Z20="CANCELLED",COUNTIFS('09_风险与决策'!$A$5:$A$100,$AG20,'09_风险与决策'!$B$5:$B$100,"Decision",'09_风险与决策'!$L$5:$L$100,"ACCEPTED")&gt;0),0,1)</x:f>
        <x:v>1</x:v>
      </x:c>
      <x:c r="AI20" s="10" t="str">
        <x:v>bd15fca 已由新的独立 reviewer 接受；V5-G0 VERIFIED。该任务验收不提前接受 G1/G2。</x:v>
      </x:c>
      <x:c r="AJ20" s="9" t="s">
        <x:v>462</x:v>
      </x:c>
    </x:row>
    <x:row r="21" ht="52" hidden="0" customHeight="1">
      <x:c r="A21" s="9" t="s">
        <x:v>499</x:v>
      </x:c>
      <x:c r="B21" s="9" t="s">
        <x:v>500</x:v>
      </x:c>
      <x:c r="C21" s="9" t="s">
        <x:v>49</x:v>
      </x:c>
      <x:c r="D21" s="9" t="s">
        <x:v>501</x:v>
      </x:c>
      <x:c r="E21" s="10" t="s">
        <x:v>502</x:v>
      </x:c>
      <x:c r="F21" s="9" t="s">
        <x:v>425</x:v>
      </x:c>
      <x:c r="G21" s="10" t="s">
        <x:v>503</x:v>
      </x:c>
      <x:c r="H21" s="9" t="s">
        <x:v>410</x:v>
      </x:c>
      <x:c r="I21" s="9" t="s">
        <x:v>504</x:v>
      </x:c>
      <x:c r="J21" s="10" t="s">
        <x:v>412</x:v>
      </x:c>
      <x:c r="K21" s="10" t="str">
        <x:v>docs/architecture/V5_TRAINING_QUEUE_SOURCE_STATE_CONTRACT_V0.md</x:v>
      </x:c>
      <x:c r="L21" s="9" t="s">
        <x:v>414</x:v>
      </x:c>
      <x:c r="M21" s="9" t="s">
        <x:v>504</x:v>
      </x:c>
      <x:c r="N21" s="9" t="s">
        <x:v>505</x:v>
      </x:c>
      <x:c r="O21" s="9" t="s">
        <x:v>428</x:v>
      </x:c>
      <x:c r="P21" s="9" t="s">
        <x:v>506</x:v>
      </x:c>
      <x:c r="Q21" s="10" t="s">
        <x:v>417</x:v>
      </x:c>
      <x:c r="R21" s="9" t="s">
        <x:v>507</x:v>
      </x:c>
      <x:c r="S21" s="9" t="s">
        <x:v>308</x:v>
      </x:c>
      <x:c r="T21" s="10" t="s">
        <x:v>419</x:v>
      </x:c>
      <x:c r="U21" s="10" t="s">
        <x:v>420</x:v>
      </x:c>
      <x:c r="V21" s="9" t="s">
        <x:v>311</x:v>
      </x:c>
      <x:c r="W21" s="9" t="s">
        <x:v>431</x:v>
      </x:c>
      <x:c r="X21" s="9" t="s">
        <x:v>313</x:v>
      </x:c>
      <x:c r="Y21" s="9" t="s">
        <x:v>314</x:v>
      </x:c>
      <x:c r="Z21" s="9" t="str">
        <x:v>VERIFIED</x:v>
      </x:c>
      <x:c r="AA21" s="10"/>
      <x:c r="AB21" s="10" t="str">
        <x:v>M</x:v>
      </x:c>
      <x:c r="AC21" s="10" t="str">
        <x:v>2026-07-30</x:v>
      </x:c>
      <x:c r="AD21" s="10" t="str">
        <x:v>2026-07-30</x:v>
      </x:c>
      <x:c r="AE21" s="10" t="str">
        <x:v>docs/architecture/V5_TRAINING_QUEUE_SOURCE_STATE_CONTRACT_V0.md；docs/testing/V5_G1_CONTRACT_TEST_MATRIX.md；docs/reports/TXWZS_V5_G1_CONTRACT_PACKAGE_INDEPENDENT_REVIEW_001.md</x:v>
      </x:c>
      <x:c r="AF21" s="10" t="str">
        <x:v>RVW-V5-G1-001</x:v>
      </x:c>
      <x:c r="AG21" s="10"/>
      <x:c r="AH21" s="23" t="n">
        <x:f aca="0">IF(AND($Z21="CANCELLED",COUNTIFS('09_风险与决策'!$A$5:$A$100,$AG21,'09_风险与决策'!$B$5:$B$100,"Decision",'09_风险与决策'!$L$5:$L$100,"ACCEPTED")&gt;0),0,1)</x:f>
        <x:v>1</x:v>
      </x:c>
      <x:c r="AI21" s="10" t="str">
        <x:v>b3a7f03 六合同由不同 reviewer 独立接受；仅 G1 VERIFIED，G2 runtime 仍需实施和独立复审。</x:v>
      </x:c>
      <x:c r="AJ21" s="9" t="s">
        <x:v>433</x:v>
      </x:c>
    </x:row>
    <x:row r="22" ht="52" hidden="0" customHeight="1">
      <x:c r="A22" s="9" t="s">
        <x:v>508</x:v>
      </x:c>
      <x:c r="B22" s="9" t="s">
        <x:v>500</x:v>
      </x:c>
      <x:c r="C22" s="9" t="s">
        <x:v>49</x:v>
      </x:c>
      <x:c r="D22" s="9" t="s">
        <x:v>501</x:v>
      </x:c>
      <x:c r="E22" s="10" t="s">
        <x:v>509</x:v>
      </x:c>
      <x:c r="F22" s="9" t="s">
        <x:v>296</x:v>
      </x:c>
      <x:c r="G22" s="10" t="s">
        <x:v>510</x:v>
      </x:c>
      <x:c r="H22" s="9" t="s">
        <x:v>410</x:v>
      </x:c>
      <x:c r="I22" s="10" t="s">
        <x:v>511</x:v>
      </x:c>
      <x:c r="J22" s="10" t="s">
        <x:v>412</x:v>
      </x:c>
      <x:c r="K22" s="10" t="s">
        <x:v>413</x:v>
      </x:c>
      <x:c r="L22" s="9" t="s">
        <x:v>414</x:v>
      </x:c>
      <x:c r="M22" s="10" t="s">
        <x:v>511</x:v>
      </x:c>
      <x:c r="N22" s="9" t="s">
        <x:v>499</x:v>
      </x:c>
      <x:c r="O22" s="9" t="s">
        <x:v>459</x:v>
      </x:c>
      <x:c r="P22" s="10" t="s">
        <x:v>512</x:v>
      </x:c>
      <x:c r="Q22" s="10" t="s">
        <x:v>417</x:v>
      </x:c>
      <x:c r="R22" s="9" t="s">
        <x:v>513</x:v>
      </x:c>
      <x:c r="S22" s="9" t="s">
        <x:v>308</x:v>
      </x:c>
      <x:c r="T22" s="10" t="s">
        <x:v>419</x:v>
      </x:c>
      <x:c r="U22" s="10" t="s">
        <x:v>420</x:v>
      </x:c>
      <x:c r="V22" s="9" t="s">
        <x:v>311</x:v>
      </x:c>
      <x:c r="W22" s="9" t="s">
        <x:v>421</x:v>
      </x:c>
      <x:c r="X22" s="9" t="s">
        <x:v>313</x:v>
      </x:c>
      <x:c r="Y22" s="9" t="s">
        <x:v>314</x:v>
      </x:c>
      <x:c r="Z22" s="9" t="str">
        <x:v>VERIFIED</x:v>
      </x:c>
      <x:c r="AA22" s="10"/>
      <x:c r="AB22" s="10" t="str">
        <x:v>M</x:v>
      </x:c>
      <x:c r="AC22" s="10" t="str">
        <x:v>2026-07-30</x:v>
      </x:c>
      <x:c r="AD22" s="10" t="str">
        <x:v>2026-07-31</x:v>
      </x:c>
      <x:c r="AE22" s="10" t="str">
        <x:v>docs/reports/TXWZS_V5_P2_TRAINING_TIM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22" s="10" t="str">
        <x:v>RVW-V5-G2-003</x:v>
      </x:c>
      <x:c r="AG22" s="10"/>
      <x:c r="AH22" s="23" t="n">
        <x:f aca="0">IF(AND($Z22="CANCELLED",COUNTIFS('09_风险与决策'!$A$5:$A$100,$AG22,'09_风险与决策'!$B$5:$B$100,"Decision",'09_风险与决策'!$L$5:$L$100,"ACCEPTED")&gt;0),0,1)</x:f>
        <x:v>1</x:v>
      </x:c>
      <x:c r="AI22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22" s="9" t="s">
        <x:v>462</x:v>
      </x:c>
    </x:row>
    <x:row r="23" ht="52" hidden="0" customHeight="1">
      <x:c r="A23" s="9" t="s">
        <x:v>514</x:v>
      </x:c>
      <x:c r="B23" s="9" t="s">
        <x:v>500</x:v>
      </x:c>
      <x:c r="C23" s="9" t="s">
        <x:v>49</x:v>
      </x:c>
      <x:c r="D23" s="9" t="s">
        <x:v>501</x:v>
      </x:c>
      <x:c r="E23" s="10" t="s">
        <x:v>515</x:v>
      </x:c>
      <x:c r="F23" s="9" t="s">
        <x:v>296</x:v>
      </x:c>
      <x:c r="G23" s="10" t="s">
        <x:v>516</x:v>
      </x:c>
      <x:c r="H23" s="9" t="s">
        <x:v>410</x:v>
      </x:c>
      <x:c r="I23" s="10" t="s">
        <x:v>517</x:v>
      </x:c>
      <x:c r="J23" s="10" t="s">
        <x:v>412</x:v>
      </x:c>
      <x:c r="K23" s="10" t="s">
        <x:v>413</x:v>
      </x:c>
      <x:c r="L23" s="9" t="s">
        <x:v>414</x:v>
      </x:c>
      <x:c r="M23" s="10" t="s">
        <x:v>517</x:v>
      </x:c>
      <x:c r="N23" s="9" t="s">
        <x:v>508</x:v>
      </x:c>
      <x:c r="O23" s="9" t="s">
        <x:v>459</x:v>
      </x:c>
      <x:c r="P23" s="10" t="s">
        <x:v>518</x:v>
      </x:c>
      <x:c r="Q23" s="10" t="s">
        <x:v>417</x:v>
      </x:c>
      <x:c r="R23" s="9" t="s">
        <x:v>519</x:v>
      </x:c>
      <x:c r="S23" s="9" t="s">
        <x:v>308</x:v>
      </x:c>
      <x:c r="T23" s="10" t="s">
        <x:v>419</x:v>
      </x:c>
      <x:c r="U23" s="10" t="s">
        <x:v>420</x:v>
      </x:c>
      <x:c r="V23" s="9" t="s">
        <x:v>311</x:v>
      </x:c>
      <x:c r="W23" s="9" t="s">
        <x:v>421</x:v>
      </x:c>
      <x:c r="X23" s="9" t="s">
        <x:v>313</x:v>
      </x:c>
      <x:c r="Y23" s="9" t="s">
        <x:v>432</x:v>
      </x:c>
      <x:c r="Z23" s="9" t="str">
        <x:v>VERIFIED</x:v>
      </x:c>
      <x:c r="AA23" s="10"/>
      <x:c r="AB23" s="10" t="str">
        <x:v>M</x:v>
      </x:c>
      <x:c r="AC23" s="10" t="str">
        <x:v>2026-07-30</x:v>
      </x:c>
      <x:c r="AD23" s="10" t="str">
        <x:v>2026-07-31</x:v>
      </x:c>
      <x:c r="AE23" s="10" t="str">
        <x:v>docs/reports/TXWZS_V5_P2_TRAINING_TIM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23" s="10" t="str">
        <x:v>RVW-V5-G2-003</x:v>
      </x:c>
      <x:c r="AG23" s="10"/>
      <x:c r="AH23" s="23" t="n">
        <x:f aca="0">IF(AND($Z23="CANCELLED",COUNTIFS('09_风险与决策'!$A$5:$A$100,$AG23,'09_风险与决策'!$B$5:$B$100,"Decision",'09_风险与决策'!$L$5:$L$100,"ACCEPTED")&gt;0),0,1)</x:f>
        <x:v>1</x:v>
      </x:c>
      <x:c r="AI23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23" s="9" t="s">
        <x:v>462</x:v>
      </x:c>
    </x:row>
    <x:row r="24" ht="52" hidden="0" customHeight="1">
      <x:c r="A24" s="9" t="s">
        <x:v>520</x:v>
      </x:c>
      <x:c r="B24" s="9" t="s">
        <x:v>500</x:v>
      </x:c>
      <x:c r="C24" s="9" t="s">
        <x:v>49</x:v>
      </x:c>
      <x:c r="D24" s="9" t="s">
        <x:v>501</x:v>
      </x:c>
      <x:c r="E24" s="10" t="s">
        <x:v>521</x:v>
      </x:c>
      <x:c r="F24" s="9" t="s">
        <x:v>425</x:v>
      </x:c>
      <x:c r="G24" s="10" t="s">
        <x:v>522</x:v>
      </x:c>
      <x:c r="H24" s="9" t="s">
        <x:v>410</x:v>
      </x:c>
      <x:c r="I24" s="10" t="s">
        <x:v>523</x:v>
      </x:c>
      <x:c r="J24" s="10" t="s">
        <x:v>412</x:v>
      </x:c>
      <x:c r="K24" s="10" t="str">
        <x:v>docs/architecture/V5_STRATEGIC_TIME_SCENE_MATRIX_CONTRACT_V0.md</x:v>
      </x:c>
      <x:c r="L24" s="9" t="s">
        <x:v>414</x:v>
      </x:c>
      <x:c r="M24" s="10" t="s">
        <x:v>523</x:v>
      </x:c>
      <x:c r="N24" s="9" t="s">
        <x:v>499</x:v>
      </x:c>
      <x:c r="O24" s="9" t="s">
        <x:v>428</x:v>
      </x:c>
      <x:c r="P24" s="10" t="s">
        <x:v>524</x:v>
      </x:c>
      <x:c r="Q24" s="10" t="s">
        <x:v>417</x:v>
      </x:c>
      <x:c r="R24" s="9" t="s">
        <x:v>525</x:v>
      </x:c>
      <x:c r="S24" s="9" t="s">
        <x:v>308</x:v>
      </x:c>
      <x:c r="T24" s="10" t="s">
        <x:v>419</x:v>
      </x:c>
      <x:c r="U24" s="10" t="s">
        <x:v>420</x:v>
      </x:c>
      <x:c r="V24" s="9" t="s">
        <x:v>311</x:v>
      </x:c>
      <x:c r="W24" s="9" t="s">
        <x:v>431</x:v>
      </x:c>
      <x:c r="X24" s="9" t="s">
        <x:v>313</x:v>
      </x:c>
      <x:c r="Y24" s="9" t="s">
        <x:v>314</x:v>
      </x:c>
      <x:c r="Z24" s="9" t="str">
        <x:v>VERIFIED</x:v>
      </x:c>
      <x:c r="AA24" s="10"/>
      <x:c r="AB24" s="10" t="str">
        <x:v>M</x:v>
      </x:c>
      <x:c r="AC24" s="10" t="str">
        <x:v>2026-07-30</x:v>
      </x:c>
      <x:c r="AD24" s="10" t="str">
        <x:v>2026-07-30</x:v>
      </x:c>
      <x:c r="AE24" s="10" t="str">
        <x:v>docs/architecture/V5_STRATEGIC_TIME_SCENE_MATRIX_CONTRACT_V0.md；docs/testing/V5_G1_CONTRACT_TEST_MATRIX.md；docs/reports/TXWZS_V5_G1_CONTRACT_PACKAGE_INDEPENDENT_REVIEW_001.md</x:v>
      </x:c>
      <x:c r="AF24" s="10" t="str">
        <x:v>RVW-V5-G1-001</x:v>
      </x:c>
      <x:c r="AG24" s="10"/>
      <x:c r="AH24" s="23" t="n">
        <x:f aca="0">IF(AND($Z24="CANCELLED",COUNTIFS('09_风险与决策'!$A$5:$A$100,$AG24,'09_风险与决策'!$B$5:$B$100,"Decision",'09_风险与决策'!$L$5:$L$100,"ACCEPTED")&gt;0),0,1)</x:f>
        <x:v>1</x:v>
      </x:c>
      <x:c r="AI24" s="10" t="str">
        <x:v>b3a7f03 六合同由不同 reviewer 独立接受；仅 G1 VERIFIED，G2 runtime 仍需实施和独立复审。</x:v>
      </x:c>
      <x:c r="AJ24" s="9" t="s">
        <x:v>476</x:v>
      </x:c>
    </x:row>
    <x:row r="25" ht="52" hidden="0" customHeight="1">
      <x:c r="A25" s="9" t="s">
        <x:v>526</x:v>
      </x:c>
      <x:c r="B25" s="9" t="s">
        <x:v>500</x:v>
      </x:c>
      <x:c r="C25" s="9" t="s">
        <x:v>49</x:v>
      </x:c>
      <x:c r="D25" s="9" t="s">
        <x:v>501</x:v>
      </x:c>
      <x:c r="E25" s="10" t="s">
        <x:v>527</x:v>
      </x:c>
      <x:c r="F25" s="9" t="s">
        <x:v>296</x:v>
      </x:c>
      <x:c r="G25" s="10" t="s">
        <x:v>528</x:v>
      </x:c>
      <x:c r="H25" s="9" t="s">
        <x:v>410</x:v>
      </x:c>
      <x:c r="I25" s="10" t="s">
        <x:v>529</x:v>
      </x:c>
      <x:c r="J25" s="10" t="s">
        <x:v>412</x:v>
      </x:c>
      <x:c r="K25" s="10" t="s">
        <x:v>413</x:v>
      </x:c>
      <x:c r="L25" s="9" t="s">
        <x:v>414</x:v>
      </x:c>
      <x:c r="M25" s="10" t="s">
        <x:v>529</x:v>
      </x:c>
      <x:c r="N25" s="9" t="s">
        <x:v>530</x:v>
      </x:c>
      <x:c r="O25" s="9" t="s">
        <x:v>459</x:v>
      </x:c>
      <x:c r="P25" s="10" t="s">
        <x:v>531</x:v>
      </x:c>
      <x:c r="Q25" s="10" t="s">
        <x:v>417</x:v>
      </x:c>
      <x:c r="R25" s="9" t="s">
        <x:v>532</x:v>
      </x:c>
      <x:c r="S25" s="9" t="s">
        <x:v>308</x:v>
      </x:c>
      <x:c r="T25" s="10" t="s">
        <x:v>419</x:v>
      </x:c>
      <x:c r="U25" s="10" t="s">
        <x:v>420</x:v>
      </x:c>
      <x:c r="V25" s="9" t="s">
        <x:v>311</x:v>
      </x:c>
      <x:c r="W25" s="9" t="s">
        <x:v>421</x:v>
      </x:c>
      <x:c r="X25" s="9" t="s">
        <x:v>313</x:v>
      </x:c>
      <x:c r="Y25" s="9" t="s">
        <x:v>432</x:v>
      </x:c>
      <x:c r="Z25" s="9" t="str">
        <x:v>VERIFIED</x:v>
      </x:c>
      <x:c r="AA25" s="10"/>
      <x:c r="AB25" s="10" t="str">
        <x:v>M</x:v>
      </x:c>
      <x:c r="AC25" s="10" t="str">
        <x:v>2026-07-30</x:v>
      </x:c>
      <x:c r="AD25" s="10" t="str">
        <x:v>2026-07-31</x:v>
      </x:c>
      <x:c r="AE25" s="10" t="str">
        <x:v>docs/reports/TXWZS_V5_P2_TRAINING_TIM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25" s="10" t="str">
        <x:v>RVW-V5-G2-003</x:v>
      </x:c>
      <x:c r="AG25" s="10"/>
      <x:c r="AH25" s="23" t="n">
        <x:f aca="0">IF(AND($Z25="CANCELLED",COUNTIFS('09_风险与决策'!$A$5:$A$100,$AG25,'09_风险与决策'!$B$5:$B$100,"Decision",'09_风险与决策'!$L$5:$L$100,"ACCEPTED")&gt;0),0,1)</x:f>
        <x:v>1</x:v>
      </x:c>
      <x:c r="AI25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25" s="9" t="s">
        <x:v>462</x:v>
      </x:c>
    </x:row>
    <x:row r="26" ht="52" hidden="0" customHeight="1">
      <x:c r="A26" s="9" t="s">
        <x:v>533</x:v>
      </x:c>
      <x:c r="B26" s="9" t="s">
        <x:v>500</x:v>
      </x:c>
      <x:c r="C26" s="9" t="s">
        <x:v>49</x:v>
      </x:c>
      <x:c r="D26" s="9" t="s">
        <x:v>501</x:v>
      </x:c>
      <x:c r="E26" s="10" t="s">
        <x:v>534</x:v>
      </x:c>
      <x:c r="F26" s="9" t="s">
        <x:v>296</x:v>
      </x:c>
      <x:c r="G26" s="10" t="s">
        <x:v>535</x:v>
      </x:c>
      <x:c r="H26" s="9" t="s">
        <x:v>410</x:v>
      </x:c>
      <x:c r="I26" s="10" t="s">
        <x:v>536</x:v>
      </x:c>
      <x:c r="J26" s="10" t="s">
        <x:v>412</x:v>
      </x:c>
      <x:c r="K26" s="10" t="s">
        <x:v>413</x:v>
      </x:c>
      <x:c r="L26" s="9" t="s">
        <x:v>414</x:v>
      </x:c>
      <x:c r="M26" s="10" t="s">
        <x:v>536</x:v>
      </x:c>
      <x:c r="N26" s="9" t="s">
        <x:v>537</x:v>
      </x:c>
      <x:c r="O26" s="9" t="s">
        <x:v>459</x:v>
      </x:c>
      <x:c r="P26" s="10" t="s">
        <x:v>538</x:v>
      </x:c>
      <x:c r="Q26" s="10" t="s">
        <x:v>417</x:v>
      </x:c>
      <x:c r="R26" s="9" t="s">
        <x:v>539</x:v>
      </x:c>
      <x:c r="S26" s="9" t="s">
        <x:v>308</x:v>
      </x:c>
      <x:c r="T26" s="10" t="s">
        <x:v>419</x:v>
      </x:c>
      <x:c r="U26" s="10" t="s">
        <x:v>420</x:v>
      </x:c>
      <x:c r="V26" s="9" t="s">
        <x:v>311</x:v>
      </x:c>
      <x:c r="W26" s="9" t="s">
        <x:v>421</x:v>
      </x:c>
      <x:c r="X26" s="9" t="s">
        <x:v>452</x:v>
      </x:c>
      <x:c r="Y26" s="9" t="s">
        <x:v>314</x:v>
      </x:c>
      <x:c r="Z26" s="9" t="str">
        <x:v>VERIFIED</x:v>
      </x:c>
      <x:c r="AA26" s="10"/>
      <x:c r="AB26" s="10" t="str">
        <x:v>S</x:v>
      </x:c>
      <x:c r="AC26" s="10" t="str">
        <x:v>2026-07-30</x:v>
      </x:c>
      <x:c r="AD26" s="10" t="str">
        <x:v>2026-07-31</x:v>
      </x:c>
      <x:c r="AE26" s="10" t="str">
        <x:v>docs/reports/TXWZS_V5_P2_TRAINING_TIM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26" s="10" t="str">
        <x:v>RVW-V5-G2-003</x:v>
      </x:c>
      <x:c r="AG26" s="10"/>
      <x:c r="AH26" s="23" t="n">
        <x:f aca="0">IF(AND($Z26="CANCELLED",COUNTIFS('09_风险与决策'!$A$5:$A$100,$AG26,'09_风险与决策'!$B$5:$B$100,"Decision",'09_风险与决策'!$L$5:$L$100,"ACCEPTED")&gt;0),0,1)</x:f>
        <x:v>1</x:v>
      </x:c>
      <x:c r="AI26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26" s="9" t="s">
        <x:v>462</x:v>
      </x:c>
    </x:row>
    <x:row r="27" ht="52" hidden="0" customHeight="1">
      <x:c r="A27" s="9" t="s">
        <x:v>540</x:v>
      </x:c>
      <x:c r="B27" s="9" t="s">
        <x:v>500</x:v>
      </x:c>
      <x:c r="C27" s="9" t="s">
        <x:v>49</x:v>
      </x:c>
      <x:c r="D27" s="9" t="s">
        <x:v>501</x:v>
      </x:c>
      <x:c r="E27" s="10" t="s">
        <x:v>541</x:v>
      </x:c>
      <x:c r="F27" s="9" t="s">
        <x:v>486</x:v>
      </x:c>
      <x:c r="G27" s="10" t="s">
        <x:v>542</x:v>
      </x:c>
      <x:c r="H27" s="9" t="s">
        <x:v>410</x:v>
      </x:c>
      <x:c r="I27" s="10" t="s">
        <x:v>543</x:v>
      </x:c>
      <x:c r="J27" s="10" t="s">
        <x:v>412</x:v>
      </x:c>
      <x:c r="K27" s="10" t="s">
        <x:v>413</x:v>
      </x:c>
      <x:c r="L27" s="9" t="s">
        <x:v>414</x:v>
      </x:c>
      <x:c r="M27" s="10" t="s">
        <x:v>543</x:v>
      </x:c>
      <x:c r="N27" s="9" t="s">
        <x:v>544</x:v>
      </x:c>
      <x:c r="O27" s="9" t="s">
        <x:v>459</x:v>
      </x:c>
      <x:c r="P27" s="10" t="s">
        <x:v>545</x:v>
      </x:c>
      <x:c r="Q27" s="10" t="s">
        <x:v>417</x:v>
      </x:c>
      <x:c r="R27" s="9" t="s">
        <x:v>546</x:v>
      </x:c>
      <x:c r="S27" s="9" t="s">
        <x:v>308</x:v>
      </x:c>
      <x:c r="T27" s="10" t="s">
        <x:v>419</x:v>
      </x:c>
      <x:c r="U27" s="10" t="s">
        <x:v>420</x:v>
      </x:c>
      <x:c r="V27" s="9" t="s">
        <x:v>311</x:v>
      </x:c>
      <x:c r="W27" s="9" t="s">
        <x:v>421</x:v>
      </x:c>
      <x:c r="X27" s="9" t="s">
        <x:v>313</x:v>
      </x:c>
      <x:c r="Y27" s="9" t="s">
        <x:v>314</x:v>
      </x:c>
      <x:c r="Z27" s="9" t="str">
        <x:v>VERIFIED</x:v>
      </x:c>
      <x:c r="AA27" s="10"/>
      <x:c r="AB27" s="10" t="str">
        <x:v>M</x:v>
      </x:c>
      <x:c r="AC27" s="10" t="str">
        <x:v>2026-07-30</x:v>
      </x:c>
      <x:c r="AD27" s="10" t="str">
        <x:v>2026-07-31</x:v>
      </x:c>
      <x:c r="AE27" s="10" t="str">
        <x:v>docs/reports/TXWZS_V5_P2_TRAINING_TIM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27" s="10" t="str">
        <x:v>RVW-V5-G2-003</x:v>
      </x:c>
      <x:c r="AG27" s="10"/>
      <x:c r="AH27" s="23" t="n">
        <x:f aca="0">IF(AND($Z27="CANCELLED",COUNTIFS('09_风险与决策'!$A$5:$A$100,$AG27,'09_风险与决策'!$B$5:$B$100,"Decision",'09_风险与决策'!$L$5:$L$100,"ACCEPTED")&gt;0),0,1)</x:f>
        <x:v>1</x:v>
      </x:c>
      <x:c r="AI27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27" s="9" t="s">
        <x:v>462</x:v>
      </x:c>
    </x:row>
    <x:row r="28" ht="52" hidden="0" customHeight="1">
      <x:c r="A28" s="9" t="s">
        <x:v>547</x:v>
      </x:c>
      <x:c r="B28" s="9" t="s">
        <x:v>548</x:v>
      </x:c>
      <x:c r="C28" s="9" t="s">
        <x:v>49</x:v>
      </x:c>
      <x:c r="D28" s="9" t="s">
        <x:v>549</x:v>
      </x:c>
      <x:c r="E28" s="10" t="s">
        <x:v>550</x:v>
      </x:c>
      <x:c r="F28" s="9" t="s">
        <x:v>425</x:v>
      </x:c>
      <x:c r="G28" s="10" t="s">
        <x:v>551</x:v>
      </x:c>
      <x:c r="H28" s="9" t="s">
        <x:v>410</x:v>
      </x:c>
      <x:c r="I28" s="10" t="s">
        <x:v>552</x:v>
      </x:c>
      <x:c r="J28" s="10" t="s">
        <x:v>412</x:v>
      </x:c>
      <x:c r="K28" s="10" t="str">
        <x:v>docs/architecture/V5_ARMY_STATE_COLLECTION_CONTRACT_V0.md</x:v>
      </x:c>
      <x:c r="L28" s="9" t="s">
        <x:v>414</x:v>
      </x:c>
      <x:c r="M28" s="10" t="s">
        <x:v>552</x:v>
      </x:c>
      <x:c r="N28" s="9" t="s">
        <x:v>467</x:v>
      </x:c>
      <x:c r="O28" s="9" t="s">
        <x:v>428</x:v>
      </x:c>
      <x:c r="P28" s="10" t="s">
        <x:v>553</x:v>
      </x:c>
      <x:c r="Q28" s="10" t="s">
        <x:v>417</x:v>
      </x:c>
      <x:c r="R28" s="9" t="s">
        <x:v>554</x:v>
      </x:c>
      <x:c r="S28" s="9" t="s">
        <x:v>308</x:v>
      </x:c>
      <x:c r="T28" s="10" t="s">
        <x:v>419</x:v>
      </x:c>
      <x:c r="U28" s="10" t="s">
        <x:v>420</x:v>
      </x:c>
      <x:c r="V28" s="9" t="s">
        <x:v>311</x:v>
      </x:c>
      <x:c r="W28" s="9" t="s">
        <x:v>431</x:v>
      </x:c>
      <x:c r="X28" s="9" t="s">
        <x:v>313</x:v>
      </x:c>
      <x:c r="Y28" s="9" t="s">
        <x:v>432</x:v>
      </x:c>
      <x:c r="Z28" s="9" t="str">
        <x:v>VERIFIED</x:v>
      </x:c>
      <x:c r="AA28" s="10"/>
      <x:c r="AB28" s="10" t="str">
        <x:v>M</x:v>
      </x:c>
      <x:c r="AC28" s="10" t="str">
        <x:v>2026-07-30</x:v>
      </x:c>
      <x:c r="AD28" s="10" t="str">
        <x:v>2026-07-30</x:v>
      </x:c>
      <x:c r="AE28" s="10" t="str">
        <x:v>docs/architecture/V5_ARMY_STATE_COLLECTION_CONTRACT_V0.md；docs/testing/V5_G1_CONTRACT_TEST_MATRIX.md；docs/reports/TXWZS_V5_G1_CONTRACT_PACKAGE_INDEPENDENT_REVIEW_001.md</x:v>
      </x:c>
      <x:c r="AF28" s="10" t="str">
        <x:v>RVW-V5-G1-001</x:v>
      </x:c>
      <x:c r="AG28" s="10"/>
      <x:c r="AH28" s="23" t="n">
        <x:f aca="0">IF(AND($Z28="CANCELLED",COUNTIFS('09_风险与决策'!$A$5:$A$100,$AG28,'09_风险与决策'!$B$5:$B$100,"Decision",'09_风险与决策'!$L$5:$L$100,"ACCEPTED")&gt;0),0,1)</x:f>
        <x:v>1</x:v>
      </x:c>
      <x:c r="AI28" s="10" t="str">
        <x:v>b3a7f03 六合同由不同 reviewer 独立接受；仅 G1 VERIFIED，G2 runtime 仍需实施和独立复审。</x:v>
      </x:c>
      <x:c r="AJ28" s="9" t="s">
        <x:v>433</x:v>
      </x:c>
    </x:row>
    <x:row r="29" ht="52" hidden="0" customHeight="1">
      <x:c r="A29" s="9" t="s">
        <x:v>555</x:v>
      </x:c>
      <x:c r="B29" s="9" t="s">
        <x:v>548</x:v>
      </x:c>
      <x:c r="C29" s="9" t="s">
        <x:v>49</x:v>
      </x:c>
      <x:c r="D29" s="9" t="s">
        <x:v>549</x:v>
      </x:c>
      <x:c r="E29" s="10" t="s">
        <x:v>556</x:v>
      </x:c>
      <x:c r="F29" s="9" t="s">
        <x:v>494</x:v>
      </x:c>
      <x:c r="G29" s="9" t="s">
        <x:v>557</x:v>
      </x:c>
      <x:c r="H29" s="9" t="s">
        <x:v>410</x:v>
      </x:c>
      <x:c r="I29" s="10" t="s">
        <x:v>558</x:v>
      </x:c>
      <x:c r="J29" s="10" t="s">
        <x:v>412</x:v>
      </x:c>
      <x:c r="K29" s="10" t="s">
        <x:v>413</x:v>
      </x:c>
      <x:c r="L29" s="9" t="s">
        <x:v>414</x:v>
      </x:c>
      <x:c r="M29" s="10" t="s">
        <x:v>558</x:v>
      </x:c>
      <x:c r="N29" s="9" t="s">
        <x:v>559</x:v>
      </x:c>
      <x:c r="O29" s="9" t="s">
        <x:v>459</x:v>
      </x:c>
      <x:c r="P29" s="10" t="s">
        <x:v>560</x:v>
      </x:c>
      <x:c r="Q29" s="10" t="s">
        <x:v>417</x:v>
      </x:c>
      <x:c r="R29" s="9" t="s">
        <x:v>561</x:v>
      </x:c>
      <x:c r="S29" s="9" t="s">
        <x:v>308</x:v>
      </x:c>
      <x:c r="T29" s="10" t="s">
        <x:v>419</x:v>
      </x:c>
      <x:c r="U29" s="10" t="s">
        <x:v>420</x:v>
      </x:c>
      <x:c r="V29" s="9" t="s">
        <x:v>311</x:v>
      </x:c>
      <x:c r="W29" s="9" t="s">
        <x:v>421</x:v>
      </x:c>
      <x:c r="X29" s="9" t="s">
        <x:v>313</x:v>
      </x:c>
      <x:c r="Y29" s="9" t="s">
        <x:v>432</x:v>
      </x:c>
      <x:c r="Z29" s="9" t="str">
        <x:v>VERIFIED</x:v>
      </x:c>
      <x:c r="AA29" s="10"/>
      <x:c r="AB29" s="10" t="str">
        <x:v>M</x:v>
      </x:c>
      <x:c r="AC29" s="10" t="str">
        <x:v>2026-07-30</x:v>
      </x:c>
      <x:c r="AD29" s="10" t="str">
        <x:v>2026-07-31</x:v>
      </x:c>
      <x:c r="AE29" s="10" t="str">
        <x:v>docs/reports/TXWZS_V5_P3_ARMY_STAT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29" s="10" t="str">
        <x:v>RVW-V5-G2-003</x:v>
      </x:c>
      <x:c r="AG29" s="10"/>
      <x:c r="AH29" s="23" t="n">
        <x:f aca="0">IF(AND($Z29="CANCELLED",COUNTIFS('09_风险与决策'!$A$5:$A$100,$AG29,'09_风险与决策'!$B$5:$B$100,"Decision",'09_风险与决策'!$L$5:$L$100,"ACCEPTED")&gt;0),0,1)</x:f>
        <x:v>1</x:v>
      </x:c>
      <x:c r="AI29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29" s="9" t="s">
        <x:v>462</x:v>
      </x:c>
    </x:row>
    <x:row r="30" ht="52" hidden="0" customHeight="1">
      <x:c r="A30" s="9" t="s">
        <x:v>562</x:v>
      </x:c>
      <x:c r="B30" s="9" t="s">
        <x:v>548</x:v>
      </x:c>
      <x:c r="C30" s="9" t="s">
        <x:v>49</x:v>
      </x:c>
      <x:c r="D30" s="9" t="s">
        <x:v>549</x:v>
      </x:c>
      <x:c r="E30" s="10" t="s">
        <x:v>563</x:v>
      </x:c>
      <x:c r="F30" s="9" t="s">
        <x:v>296</x:v>
      </x:c>
      <x:c r="G30" s="10" t="s">
        <x:v>564</x:v>
      </x:c>
      <x:c r="H30" s="9" t="s">
        <x:v>410</x:v>
      </x:c>
      <x:c r="I30" s="9" t="s">
        <x:v>565</x:v>
      </x:c>
      <x:c r="J30" s="10" t="s">
        <x:v>412</x:v>
      </x:c>
      <x:c r="K30" s="10" t="s">
        <x:v>413</x:v>
      </x:c>
      <x:c r="L30" s="9" t="s">
        <x:v>414</x:v>
      </x:c>
      <x:c r="M30" s="9" t="s">
        <x:v>565</x:v>
      </x:c>
      <x:c r="N30" s="9" t="s">
        <x:v>555</x:v>
      </x:c>
      <x:c r="O30" s="9" t="s">
        <x:v>459</x:v>
      </x:c>
      <x:c r="P30" s="9" t="s">
        <x:v>566</x:v>
      </x:c>
      <x:c r="Q30" s="10" t="s">
        <x:v>417</x:v>
      </x:c>
      <x:c r="R30" s="9" t="s">
        <x:v>567</x:v>
      </x:c>
      <x:c r="S30" s="9" t="s">
        <x:v>308</x:v>
      </x:c>
      <x:c r="T30" s="10" t="s">
        <x:v>419</x:v>
      </x:c>
      <x:c r="U30" s="10" t="s">
        <x:v>420</x:v>
      </x:c>
      <x:c r="V30" s="9" t="s">
        <x:v>311</x:v>
      </x:c>
      <x:c r="W30" s="9" t="s">
        <x:v>421</x:v>
      </x:c>
      <x:c r="X30" s="9" t="s">
        <x:v>313</x:v>
      </x:c>
      <x:c r="Y30" s="9" t="s">
        <x:v>432</x:v>
      </x:c>
      <x:c r="Z30" s="9" t="str">
        <x:v>VERIFIED</x:v>
      </x:c>
      <x:c r="AA30" s="10"/>
      <x:c r="AB30" s="10" t="str">
        <x:v>L</x:v>
      </x:c>
      <x:c r="AC30" s="10" t="str">
        <x:v>2026-07-30</x:v>
      </x:c>
      <x:c r="AD30" s="10" t="str">
        <x:v>2026-07-31</x:v>
      </x:c>
      <x:c r="AE30" s="10" t="str">
        <x:v>docs/reports/TXWZS_V5_P3_ARMY_STAT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0" s="10" t="str">
        <x:v>RVW-V5-G2-003</x:v>
      </x:c>
      <x:c r="AG30" s="10"/>
      <x:c r="AH30" s="23" t="n">
        <x:f aca="0">IF(AND($Z30="CANCELLED",COUNTIFS('09_风险与决策'!$A$5:$A$100,$AG30,'09_风险与决策'!$B$5:$B$100,"Decision",'09_风险与决策'!$L$5:$L$100,"ACCEPTED")&gt;0),0,1)</x:f>
        <x:v>1</x:v>
      </x:c>
      <x:c r="AI30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0" s="9" t="s">
        <x:v>462</x:v>
      </x:c>
    </x:row>
    <x:row r="31" ht="52" hidden="0" customHeight="1">
      <x:c r="A31" s="9" t="s">
        <x:v>568</x:v>
      </x:c>
      <x:c r="B31" s="9" t="s">
        <x:v>548</x:v>
      </x:c>
      <x:c r="C31" s="9" t="s">
        <x:v>49</x:v>
      </x:c>
      <x:c r="D31" s="9" t="s">
        <x:v>549</x:v>
      </x:c>
      <x:c r="E31" s="10" t="s">
        <x:v>569</x:v>
      </x:c>
      <x:c r="F31" s="9" t="s">
        <x:v>296</x:v>
      </x:c>
      <x:c r="G31" s="9" t="s">
        <x:v>570</x:v>
      </x:c>
      <x:c r="H31" s="9" t="s">
        <x:v>410</x:v>
      </x:c>
      <x:c r="I31" s="9" t="s">
        <x:v>571</x:v>
      </x:c>
      <x:c r="J31" s="10" t="s">
        <x:v>412</x:v>
      </x:c>
      <x:c r="K31" s="10" t="s">
        <x:v>413</x:v>
      </x:c>
      <x:c r="L31" s="9" t="s">
        <x:v>414</x:v>
      </x:c>
      <x:c r="M31" s="9" t="s">
        <x:v>571</x:v>
      </x:c>
      <x:c r="N31" s="9" t="s">
        <x:v>562</x:v>
      </x:c>
      <x:c r="O31" s="9" t="s">
        <x:v>459</x:v>
      </x:c>
      <x:c r="P31" s="9" t="s">
        <x:v>572</x:v>
      </x:c>
      <x:c r="Q31" s="10" t="s">
        <x:v>417</x:v>
      </x:c>
      <x:c r="R31" s="9" t="s">
        <x:v>573</x:v>
      </x:c>
      <x:c r="S31" s="9" t="s">
        <x:v>308</x:v>
      </x:c>
      <x:c r="T31" s="10" t="s">
        <x:v>419</x:v>
      </x:c>
      <x:c r="U31" s="10" t="s">
        <x:v>420</x:v>
      </x:c>
      <x:c r="V31" s="9" t="s">
        <x:v>311</x:v>
      </x:c>
      <x:c r="W31" s="9" t="s">
        <x:v>421</x:v>
      </x:c>
      <x:c r="X31" s="9" t="s">
        <x:v>313</x:v>
      </x:c>
      <x:c r="Y31" s="9" t="s">
        <x:v>314</x:v>
      </x:c>
      <x:c r="Z31" s="9" t="str">
        <x:v>VERIFIED</x:v>
      </x:c>
      <x:c r="AA31" s="10"/>
      <x:c r="AB31" s="10" t="str">
        <x:v>M</x:v>
      </x:c>
      <x:c r="AC31" s="10" t="str">
        <x:v>2026-07-30</x:v>
      </x:c>
      <x:c r="AD31" s="10" t="str">
        <x:v>2026-07-31</x:v>
      </x:c>
      <x:c r="AE31" s="10" t="str">
        <x:v>docs/reports/TXWZS_V5_P3_ARMY_STAT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1" s="10" t="str">
        <x:v>RVW-V5-G2-003</x:v>
      </x:c>
      <x:c r="AG31" s="10"/>
      <x:c r="AH31" s="23" t="n">
        <x:f aca="0">IF(AND($Z31="CANCELLED",COUNTIFS('09_风险与决策'!$A$5:$A$100,$AG31,'09_风险与决策'!$B$5:$B$100,"Decision",'09_风险与决策'!$L$5:$L$100,"ACCEPTED")&gt;0),0,1)</x:f>
        <x:v>1</x:v>
      </x:c>
      <x:c r="AI31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1" s="9" t="s">
        <x:v>462</x:v>
      </x:c>
    </x:row>
    <x:row r="32" ht="52" hidden="0" customHeight="1">
      <x:c r="A32" s="9" t="s">
        <x:v>574</x:v>
      </x:c>
      <x:c r="B32" s="9" t="s">
        <x:v>548</x:v>
      </x:c>
      <x:c r="C32" s="9" t="s">
        <x:v>49</x:v>
      </x:c>
      <x:c r="D32" s="9" t="s">
        <x:v>549</x:v>
      </x:c>
      <x:c r="E32" s="10" t="s">
        <x:v>575</x:v>
      </x:c>
      <x:c r="F32" s="9" t="s">
        <x:v>296</x:v>
      </x:c>
      <x:c r="G32" s="10" t="s">
        <x:v>576</x:v>
      </x:c>
      <x:c r="H32" s="9" t="s">
        <x:v>410</x:v>
      </x:c>
      <x:c r="I32" s="9" t="s">
        <x:v>577</x:v>
      </x:c>
      <x:c r="J32" s="10" t="s">
        <x:v>412</x:v>
      </x:c>
      <x:c r="K32" s="10" t="s">
        <x:v>413</x:v>
      </x:c>
      <x:c r="L32" s="9" t="s">
        <x:v>414</x:v>
      </x:c>
      <x:c r="M32" s="9" t="s">
        <x:v>577</x:v>
      </x:c>
      <x:c r="N32" s="9" t="s">
        <x:v>568</x:v>
      </x:c>
      <x:c r="O32" s="9" t="s">
        <x:v>459</x:v>
      </x:c>
      <x:c r="P32" s="9" t="s">
        <x:v>578</x:v>
      </x:c>
      <x:c r="Q32" s="10" t="s">
        <x:v>417</x:v>
      </x:c>
      <x:c r="R32" s="9" t="s">
        <x:v>579</x:v>
      </x:c>
      <x:c r="S32" s="9" t="s">
        <x:v>308</x:v>
      </x:c>
      <x:c r="T32" s="10" t="s">
        <x:v>419</x:v>
      </x:c>
      <x:c r="U32" s="10" t="s">
        <x:v>420</x:v>
      </x:c>
      <x:c r="V32" s="9" t="s">
        <x:v>311</x:v>
      </x:c>
      <x:c r="W32" s="9" t="s">
        <x:v>421</x:v>
      </x:c>
      <x:c r="X32" s="9" t="s">
        <x:v>313</x:v>
      </x:c>
      <x:c r="Y32" s="9" t="s">
        <x:v>432</x:v>
      </x:c>
      <x:c r="Z32" s="9" t="str">
        <x:v>VERIFIED</x:v>
      </x:c>
      <x:c r="AA32" s="10"/>
      <x:c r="AB32" s="10" t="str">
        <x:v>M</x:v>
      </x:c>
      <x:c r="AC32" s="10" t="str">
        <x:v>2026-07-30</x:v>
      </x:c>
      <x:c r="AD32" s="10" t="str">
        <x:v>2026-07-31</x:v>
      </x:c>
      <x:c r="AE32" s="10" t="str">
        <x:v>docs/reports/TXWZS_V5_P3_ARMY_STAT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2" s="10" t="str">
        <x:v>RVW-V5-G2-003</x:v>
      </x:c>
      <x:c r="AG32" s="10"/>
      <x:c r="AH32" s="23" t="n">
        <x:f aca="0">IF(AND($Z32="CANCELLED",COUNTIFS('09_风险与决策'!$A$5:$A$100,$AG32,'09_风险与决策'!$B$5:$B$100,"Decision",'09_风险与决策'!$L$5:$L$100,"ACCEPTED")&gt;0),0,1)</x:f>
        <x:v>1</x:v>
      </x:c>
      <x:c r="AI32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2" s="9" t="s">
        <x:v>462</x:v>
      </x:c>
    </x:row>
    <x:row r="33" ht="52" hidden="0" customHeight="1">
      <x:c r="A33" s="9" t="s">
        <x:v>580</x:v>
      </x:c>
      <x:c r="B33" s="9" t="s">
        <x:v>548</x:v>
      </x:c>
      <x:c r="C33" s="9" t="s">
        <x:v>49</x:v>
      </x:c>
      <x:c r="D33" s="9" t="s">
        <x:v>549</x:v>
      </x:c>
      <x:c r="E33" s="10" t="s">
        <x:v>581</x:v>
      </x:c>
      <x:c r="F33" s="9" t="s">
        <x:v>486</x:v>
      </x:c>
      <x:c r="G33" s="10" t="s">
        <x:v>582</x:v>
      </x:c>
      <x:c r="H33" s="9" t="s">
        <x:v>410</x:v>
      </x:c>
      <x:c r="I33" s="9" t="s">
        <x:v>583</x:v>
      </x:c>
      <x:c r="J33" s="10" t="s">
        <x:v>412</x:v>
      </x:c>
      <x:c r="K33" s="10" t="s">
        <x:v>413</x:v>
      </x:c>
      <x:c r="L33" s="9" t="s">
        <x:v>414</x:v>
      </x:c>
      <x:c r="M33" s="9" t="s">
        <x:v>583</x:v>
      </x:c>
      <x:c r="N33" s="9" t="s">
        <x:v>584</x:v>
      </x:c>
      <x:c r="O33" s="9" t="s">
        <x:v>459</x:v>
      </x:c>
      <x:c r="P33" s="9" t="s">
        <x:v>585</x:v>
      </x:c>
      <x:c r="Q33" s="10" t="s">
        <x:v>417</x:v>
      </x:c>
      <x:c r="R33" s="9" t="s">
        <x:v>586</x:v>
      </x:c>
      <x:c r="S33" s="9" t="s">
        <x:v>308</x:v>
      </x:c>
      <x:c r="T33" s="10" t="s">
        <x:v>419</x:v>
      </x:c>
      <x:c r="U33" s="10" t="s">
        <x:v>420</x:v>
      </x:c>
      <x:c r="V33" s="9" t="s">
        <x:v>311</x:v>
      </x:c>
      <x:c r="W33" s="9" t="s">
        <x:v>421</x:v>
      </x:c>
      <x:c r="X33" s="9" t="s">
        <x:v>313</x:v>
      </x:c>
      <x:c r="Y33" s="9" t="s">
        <x:v>432</x:v>
      </x:c>
      <x:c r="Z33" s="9" t="str">
        <x:v>VERIFIED</x:v>
      </x:c>
      <x:c r="AA33" s="10"/>
      <x:c r="AB33" s="10" t="str">
        <x:v>M</x:v>
      </x:c>
      <x:c r="AC33" s="10" t="str">
        <x:v>2026-07-30</x:v>
      </x:c>
      <x:c r="AD33" s="10" t="str">
        <x:v>2026-07-31</x:v>
      </x:c>
      <x:c r="AE33" s="10" t="str">
        <x:v>docs/reports/TXWZS_V5_P3_ARMY_STAT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3" s="10" t="str">
        <x:v>RVW-V5-G2-003</x:v>
      </x:c>
      <x:c r="AG33" s="10"/>
      <x:c r="AH33" s="23" t="n">
        <x:f aca="0">IF(AND($Z33="CANCELLED",COUNTIFS('09_风险与决策'!$A$5:$A$100,$AG33,'09_风险与决策'!$B$5:$B$100,"Decision",'09_风险与决策'!$L$5:$L$100,"ACCEPTED")&gt;0),0,1)</x:f>
        <x:v>1</x:v>
      </x:c>
      <x:c r="AI33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3" s="9" t="s">
        <x:v>462</x:v>
      </x:c>
    </x:row>
    <x:row r="34" ht="52" hidden="0" customHeight="1">
      <x:c r="A34" s="9" t="s">
        <x:v>587</x:v>
      </x:c>
      <x:c r="B34" s="9" t="s">
        <x:v>588</x:v>
      </x:c>
      <x:c r="C34" s="9" t="s">
        <x:v>49</x:v>
      </x:c>
      <x:c r="D34" s="9" t="s">
        <x:v>589</x:v>
      </x:c>
      <x:c r="E34" s="10" t="s">
        <x:v>590</x:v>
      </x:c>
      <x:c r="F34" s="9" t="s">
        <x:v>425</x:v>
      </x:c>
      <x:c r="G34" s="9" t="s">
        <x:v>591</x:v>
      </x:c>
      <x:c r="H34" s="9" t="s">
        <x:v>410</x:v>
      </x:c>
      <x:c r="I34" s="9" t="s">
        <x:v>592</x:v>
      </x:c>
      <x:c r="J34" s="10" t="s">
        <x:v>412</x:v>
      </x:c>
      <x:c r="K34" s="10" t="str">
        <x:v>docs/architecture/V5_ENCOUNTER_OUTCOME_FACTS_CONTRACT_V0.md</x:v>
      </x:c>
      <x:c r="L34" s="9" t="s">
        <x:v>414</x:v>
      </x:c>
      <x:c r="M34" s="9" t="s">
        <x:v>592</x:v>
      </x:c>
      <x:c r="N34" s="9" t="s">
        <x:v>547</x:v>
      </x:c>
      <x:c r="O34" s="9" t="s">
        <x:v>428</x:v>
      </x:c>
      <x:c r="P34" s="9" t="s">
        <x:v>593</x:v>
      </x:c>
      <x:c r="Q34" s="10" t="s">
        <x:v>417</x:v>
      </x:c>
      <x:c r="R34" s="9" t="s">
        <x:v>594</x:v>
      </x:c>
      <x:c r="S34" s="9" t="s">
        <x:v>308</x:v>
      </x:c>
      <x:c r="T34" s="10" t="s">
        <x:v>419</x:v>
      </x:c>
      <x:c r="U34" s="10" t="s">
        <x:v>420</x:v>
      </x:c>
      <x:c r="V34" s="9" t="s">
        <x:v>311</x:v>
      </x:c>
      <x:c r="W34" s="9" t="s">
        <x:v>431</x:v>
      </x:c>
      <x:c r="X34" s="9" t="s">
        <x:v>313</x:v>
      </x:c>
      <x:c r="Y34" s="9" t="s">
        <x:v>314</x:v>
      </x:c>
      <x:c r="Z34" s="9" t="str">
        <x:v>VERIFIED</x:v>
      </x:c>
      <x:c r="AA34" s="10"/>
      <x:c r="AB34" s="10" t="str">
        <x:v>M</x:v>
      </x:c>
      <x:c r="AC34" s="10" t="str">
        <x:v>2026-07-30</x:v>
      </x:c>
      <x:c r="AD34" s="10" t="str">
        <x:v>2026-07-30</x:v>
      </x:c>
      <x:c r="AE34" s="10" t="str">
        <x:v>docs/architecture/V5_ENCOUNTER_OUTCOME_FACTS_CONTRACT_V0.md；docs/testing/V5_G1_CONTRACT_TEST_MATRIX.md；docs/reports/TXWZS_V5_G1_CONTRACT_PACKAGE_INDEPENDENT_REVIEW_001.md</x:v>
      </x:c>
      <x:c r="AF34" s="10" t="str">
        <x:v>RVW-V5-G1-001</x:v>
      </x:c>
      <x:c r="AG34" s="10"/>
      <x:c r="AH34" s="23" t="n">
        <x:f aca="0">IF(AND($Z34="CANCELLED",COUNTIFS('09_风险与决策'!$A$5:$A$100,$AG34,'09_风险与决策'!$B$5:$B$100,"Decision",'09_风险与决策'!$L$5:$L$100,"ACCEPTED")&gt;0),0,1)</x:f>
        <x:v>1</x:v>
      </x:c>
      <x:c r="AI34" s="10" t="str">
        <x:v>b3a7f03 六合同由不同 reviewer 独立接受；仅 G1 VERIFIED，G2 runtime 仍需实施和独立复审。</x:v>
      </x:c>
      <x:c r="AJ34" s="9" t="s">
        <x:v>433</x:v>
      </x:c>
    </x:row>
    <x:row r="35" ht="52" hidden="0" customHeight="1">
      <x:c r="A35" s="9" t="s">
        <x:v>595</x:v>
      </x:c>
      <x:c r="B35" s="9" t="s">
        <x:v>588</x:v>
      </x:c>
      <x:c r="C35" s="9" t="s">
        <x:v>49</x:v>
      </x:c>
      <x:c r="D35" s="9" t="s">
        <x:v>589</x:v>
      </x:c>
      <x:c r="E35" s="10" t="s">
        <x:v>596</x:v>
      </x:c>
      <x:c r="F35" s="9" t="s">
        <x:v>296</x:v>
      </x:c>
      <x:c r="G35" s="10" t="s">
        <x:v>597</x:v>
      </x:c>
      <x:c r="H35" s="9" t="s">
        <x:v>410</x:v>
      </x:c>
      <x:c r="I35" s="10" t="s">
        <x:v>598</x:v>
      </x:c>
      <x:c r="J35" s="10" t="s">
        <x:v>412</x:v>
      </x:c>
      <x:c r="K35" s="10" t="s">
        <x:v>413</x:v>
      </x:c>
      <x:c r="L35" s="9" t="s">
        <x:v>414</x:v>
      </x:c>
      <x:c r="M35" s="10" t="s">
        <x:v>598</x:v>
      </x:c>
      <x:c r="N35" s="9" t="s">
        <x:v>599</x:v>
      </x:c>
      <x:c r="O35" s="9" t="s">
        <x:v>459</x:v>
      </x:c>
      <x:c r="P35" s="10" t="s">
        <x:v>600</x:v>
      </x:c>
      <x:c r="Q35" s="10" t="s">
        <x:v>417</x:v>
      </x:c>
      <x:c r="R35" s="9" t="s">
        <x:v>601</x:v>
      </x:c>
      <x:c r="S35" s="9" t="s">
        <x:v>308</x:v>
      </x:c>
      <x:c r="T35" s="10" t="s">
        <x:v>419</x:v>
      </x:c>
      <x:c r="U35" s="10" t="s">
        <x:v>420</x:v>
      </x:c>
      <x:c r="V35" s="9" t="s">
        <x:v>311</x:v>
      </x:c>
      <x:c r="W35" s="9" t="s">
        <x:v>421</x:v>
      </x:c>
      <x:c r="X35" s="9" t="s">
        <x:v>313</x:v>
      </x:c>
      <x:c r="Y35" s="9" t="s">
        <x:v>432</x:v>
      </x:c>
      <x:c r="Z35" s="9" t="str">
        <x:v>VERIFIED</x:v>
      </x:c>
      <x:c r="AA35" s="10"/>
      <x:c r="AB35" s="10" t="str">
        <x:v>L</x:v>
      </x:c>
      <x:c r="AC35" s="10" t="str">
        <x:v>2026-07-30</x:v>
      </x:c>
      <x:c r="AD35" s="10" t="str">
        <x:v>2026-07-31</x:v>
      </x:c>
      <x:c r="AE35" s="10" t="str">
        <x:v>docs/reports/TXWZS_V5_P4_ENCOUNTER_WRITEBACK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5" s="10" t="str">
        <x:v>RVW-V5-G2-003</x:v>
      </x:c>
      <x:c r="AG35" s="10"/>
      <x:c r="AH35" s="23" t="n">
        <x:f aca="0">IF(AND($Z35="CANCELLED",COUNTIFS('09_风险与决策'!$A$5:$A$100,$AG35,'09_风险与决策'!$B$5:$B$100,"Decision",'09_风险与决策'!$L$5:$L$100,"ACCEPTED")&gt;0),0,1)</x:f>
        <x:v>1</x:v>
      </x:c>
      <x:c r="AI35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5" s="9" t="s">
        <x:v>462</x:v>
      </x:c>
    </x:row>
    <x:row r="36" ht="52" hidden="0" customHeight="1">
      <x:c r="A36" s="9" t="s">
        <x:v>602</x:v>
      </x:c>
      <x:c r="B36" s="9" t="s">
        <x:v>588</x:v>
      </x:c>
      <x:c r="C36" s="9" t="s">
        <x:v>49</x:v>
      </x:c>
      <x:c r="D36" s="9" t="s">
        <x:v>589</x:v>
      </x:c>
      <x:c r="E36" s="10" t="s">
        <x:v>603</x:v>
      </x:c>
      <x:c r="F36" s="9" t="s">
        <x:v>296</x:v>
      </x:c>
      <x:c r="G36" s="10" t="s">
        <x:v>604</x:v>
      </x:c>
      <x:c r="H36" s="9" t="s">
        <x:v>410</x:v>
      </x:c>
      <x:c r="I36" s="10" t="s">
        <x:v>605</x:v>
      </x:c>
      <x:c r="J36" s="10" t="s">
        <x:v>412</x:v>
      </x:c>
      <x:c r="K36" s="10" t="s">
        <x:v>413</x:v>
      </x:c>
      <x:c r="L36" s="9" t="s">
        <x:v>414</x:v>
      </x:c>
      <x:c r="M36" s="10" t="s">
        <x:v>605</x:v>
      </x:c>
      <x:c r="N36" s="9" t="s">
        <x:v>595</x:v>
      </x:c>
      <x:c r="O36" s="9" t="s">
        <x:v>459</x:v>
      </x:c>
      <x:c r="P36" s="10" t="s">
        <x:v>606</x:v>
      </x:c>
      <x:c r="Q36" s="10" t="s">
        <x:v>417</x:v>
      </x:c>
      <x:c r="R36" s="9" t="s">
        <x:v>607</x:v>
      </x:c>
      <x:c r="S36" s="9" t="s">
        <x:v>308</x:v>
      </x:c>
      <x:c r="T36" s="10" t="s">
        <x:v>419</x:v>
      </x:c>
      <x:c r="U36" s="10" t="s">
        <x:v>420</x:v>
      </x:c>
      <x:c r="V36" s="9" t="s">
        <x:v>311</x:v>
      </x:c>
      <x:c r="W36" s="9" t="s">
        <x:v>421</x:v>
      </x:c>
      <x:c r="X36" s="9" t="s">
        <x:v>313</x:v>
      </x:c>
      <x:c r="Y36" s="9" t="s">
        <x:v>314</x:v>
      </x:c>
      <x:c r="Z36" s="9" t="str">
        <x:v>VERIFIED</x:v>
      </x:c>
      <x:c r="AA36" s="10"/>
      <x:c r="AB36" s="10" t="str">
        <x:v>M</x:v>
      </x:c>
      <x:c r="AC36" s="10" t="str">
        <x:v>2026-07-30</x:v>
      </x:c>
      <x:c r="AD36" s="10" t="str">
        <x:v>2026-07-31</x:v>
      </x:c>
      <x:c r="AE36" s="10" t="str">
        <x:v>docs/reports/TXWZS_V5_P4_ENCOUNTER_WRITEBACK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6" s="10" t="str">
        <x:v>RVW-V5-G2-003</x:v>
      </x:c>
      <x:c r="AG36" s="10"/>
      <x:c r="AH36" s="23" t="n">
        <x:f aca="0">IF(AND($Z36="CANCELLED",COUNTIFS('09_风险与决策'!$A$5:$A$100,$AG36,'09_风险与决策'!$B$5:$B$100,"Decision",'09_风险与决策'!$L$5:$L$100,"ACCEPTED")&gt;0),0,1)</x:f>
        <x:v>1</x:v>
      </x:c>
      <x:c r="AI36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6" s="9" t="s">
        <x:v>462</x:v>
      </x:c>
    </x:row>
    <x:row r="37" ht="52" hidden="0" customHeight="1">
      <x:c r="A37" s="9" t="s">
        <x:v>608</x:v>
      </x:c>
      <x:c r="B37" s="9" t="s">
        <x:v>588</x:v>
      </x:c>
      <x:c r="C37" s="9" t="s">
        <x:v>49</x:v>
      </x:c>
      <x:c r="D37" s="9" t="s">
        <x:v>589</x:v>
      </x:c>
      <x:c r="E37" s="10" t="s">
        <x:v>609</x:v>
      </x:c>
      <x:c r="F37" s="9" t="s">
        <x:v>486</x:v>
      </x:c>
      <x:c r="G37" s="10" t="s">
        <x:v>610</x:v>
      </x:c>
      <x:c r="H37" s="9" t="s">
        <x:v>410</x:v>
      </x:c>
      <x:c r="I37" s="9" t="s">
        <x:v>611</x:v>
      </x:c>
      <x:c r="J37" s="10" t="s">
        <x:v>412</x:v>
      </x:c>
      <x:c r="K37" s="10" t="s">
        <x:v>413</x:v>
      </x:c>
      <x:c r="L37" s="9" t="s">
        <x:v>414</x:v>
      </x:c>
      <x:c r="M37" s="9" t="s">
        <x:v>611</x:v>
      </x:c>
      <x:c r="N37" s="9" t="s">
        <x:v>612</x:v>
      </x:c>
      <x:c r="O37" s="9" t="s">
        <x:v>459</x:v>
      </x:c>
      <x:c r="P37" s="9" t="s">
        <x:v>613</x:v>
      </x:c>
      <x:c r="Q37" s="10" t="s">
        <x:v>417</x:v>
      </x:c>
      <x:c r="R37" s="9" t="s">
        <x:v>614</x:v>
      </x:c>
      <x:c r="S37" s="9" t="s">
        <x:v>308</x:v>
      </x:c>
      <x:c r="T37" s="10" t="s">
        <x:v>419</x:v>
      </x:c>
      <x:c r="U37" s="10" t="s">
        <x:v>420</x:v>
      </x:c>
      <x:c r="V37" s="9" t="s">
        <x:v>311</x:v>
      </x:c>
      <x:c r="W37" s="9" t="s">
        <x:v>421</x:v>
      </x:c>
      <x:c r="X37" s="9" t="s">
        <x:v>313</x:v>
      </x:c>
      <x:c r="Y37" s="9" t="s">
        <x:v>432</x:v>
      </x:c>
      <x:c r="Z37" s="9" t="str">
        <x:v>VERIFIED</x:v>
      </x:c>
      <x:c r="AA37" s="10"/>
      <x:c r="AB37" s="10" t="str">
        <x:v>M</x:v>
      </x:c>
      <x:c r="AC37" s="10" t="str">
        <x:v>2026-07-30</x:v>
      </x:c>
      <x:c r="AD37" s="10" t="str">
        <x:v>2026-07-31</x:v>
      </x:c>
      <x:c r="AE37" s="10" t="str">
        <x:v>docs/reports/TXWZS_V5_P4_ENCOUNTER_WRITEBACK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37" s="10" t="str">
        <x:v>RVW-V5-G2-003</x:v>
      </x:c>
      <x:c r="AG37" s="10"/>
      <x:c r="AH37" s="23" t="n">
        <x:f aca="0">IF(AND($Z37="CANCELLED",COUNTIFS('09_风险与决策'!$A$5:$A$100,$AG37,'09_风险与决策'!$B$5:$B$100,"Decision",'09_风险与决策'!$L$5:$L$100,"ACCEPTED")&gt;0),0,1)</x:f>
        <x:v>1</x:v>
      </x:c>
      <x:c r="AI37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37" s="9" t="s">
        <x:v>462</x:v>
      </x:c>
    </x:row>
    <x:row r="38" ht="52" hidden="0" customHeight="1">
      <x:c r="A38" s="9" t="s">
        <x:v>615</x:v>
      </x:c>
      <x:c r="B38" s="9" t="s">
        <x:v>588</x:v>
      </x:c>
      <x:c r="C38" s="9" t="s">
        <x:v>49</x:v>
      </x:c>
      <x:c r="D38" s="9" t="s">
        <x:v>589</x:v>
      </x:c>
      <x:c r="E38" s="10" t="s">
        <x:v>616</x:v>
      </x:c>
      <x:c r="F38" s="9" t="s">
        <x:v>617</x:v>
      </x:c>
      <x:c r="G38" s="10" t="s">
        <x:v>618</x:v>
      </x:c>
      <x:c r="H38" s="9" t="s">
        <x:v>410</x:v>
      </x:c>
      <x:c r="I38" s="10" t="s">
        <x:v>619</x:v>
      </x:c>
      <x:c r="J38" s="10" t="s">
        <x:v>412</x:v>
      </x:c>
      <x:c r="K38" s="10" t="s">
        <x:v>413</x:v>
      </x:c>
      <x:c r="L38" s="9" t="s">
        <x:v>414</x:v>
      </x:c>
      <x:c r="M38" s="10" t="s">
        <x:v>619</x:v>
      </x:c>
      <x:c r="N38" s="9" t="s">
        <x:v>608</x:v>
      </x:c>
      <x:c r="O38" s="9" t="s">
        <x:v>620</x:v>
      </x:c>
      <x:c r="P38" s="10" t="s">
        <x:v>621</x:v>
      </x:c>
      <x:c r="Q38" s="10" t="s">
        <x:v>417</x:v>
      </x:c>
      <x:c r="R38" s="9" t="s">
        <x:v>622</x:v>
      </x:c>
      <x:c r="S38" s="9" t="s">
        <x:v>308</x:v>
      </x:c>
      <x:c r="T38" s="10" t="s">
        <x:v>419</x:v>
      </x:c>
      <x:c r="U38" s="10" t="s">
        <x:v>420</x:v>
      </x:c>
      <x:c r="V38" s="9" t="s">
        <x:v>311</x:v>
      </x:c>
      <x:c r="W38" s="9" t="s">
        <x:v>421</x:v>
      </x:c>
      <x:c r="X38" s="9" t="s">
        <x:v>452</x:v>
      </x:c>
      <x:c r="Y38" s="9" t="s">
        <x:v>314</x:v>
      </x:c>
      <x:c r="Z38" s="9" t="s">
        <x:v>6</x:v>
      </x:c>
      <x:c r="AA38" s="10"/>
      <x:c r="AB38" s="10"/>
      <x:c r="AC38" s="10"/>
      <x:c r="AD38" s="10"/>
      <x:c r="AE38" s="10"/>
      <x:c r="AF38" s="10"/>
      <x:c r="AG38" s="10"/>
      <x:c r="AH38" s="23" t="n">
        <x:f aca="0">IF(AND($Z38="CANCELLED",COUNTIFS('09_风险与决策'!$A$5:$A$100,$AG38,'09_风险与决策'!$B$5:$B$100,"Decision",'09_风险与决策'!$L$5:$L$100,"ACCEPTED")&gt;0),0,1)</x:f>
        <x:v>1</x:v>
      </x:c>
      <x:c r="AI38" s="10"/>
      <x:c r="AJ38" s="9" t="s">
        <x:v>623</x:v>
      </x:c>
    </x:row>
    <x:row r="39" ht="52" hidden="0" customHeight="1">
      <x:c r="A39" s="9" t="s">
        <x:v>624</x:v>
      </x:c>
      <x:c r="B39" s="9" t="s">
        <x:v>625</x:v>
      </x:c>
      <x:c r="C39" s="9" t="s">
        <x:v>49</x:v>
      </x:c>
      <x:c r="D39" s="9" t="s">
        <x:v>626</x:v>
      </x:c>
      <x:c r="E39" s="10" t="s">
        <x:v>627</x:v>
      </x:c>
      <x:c r="F39" s="9" t="s">
        <x:v>323</x:v>
      </x:c>
      <x:c r="G39" s="10" t="s">
        <x:v>628</x:v>
      </x:c>
      <x:c r="H39" s="9" t="s">
        <x:v>410</x:v>
      </x:c>
      <x:c r="I39" s="9" t="s">
        <x:v>629</x:v>
      </x:c>
      <x:c r="J39" s="10" t="s">
        <x:v>412</x:v>
      </x:c>
      <x:c r="K39" s="10" t="str">
        <x:v>docs/reports/TXWZS_V5_S1A2_REUSE_DECISION_001.md</x:v>
      </x:c>
      <x:c r="L39" s="9" t="s">
        <x:v>414</x:v>
      </x:c>
      <x:c r="M39" s="9" t="s">
        <x:v>629</x:v>
      </x:c>
      <x:c r="N39" s="9" t="s">
        <x:v>404</x:v>
      </x:c>
      <x:c r="O39" s="9" t="s">
        <x:v>428</x:v>
      </x:c>
      <x:c r="P39" s="9" t="s">
        <x:v>630</x:v>
      </x:c>
      <x:c r="Q39" s="10" t="s">
        <x:v>417</x:v>
      </x:c>
      <x:c r="R39" s="9" t="s">
        <x:v>631</x:v>
      </x:c>
      <x:c r="S39" s="9" t="s">
        <x:v>308</x:v>
      </x:c>
      <x:c r="T39" s="10" t="s">
        <x:v>419</x:v>
      </x:c>
      <x:c r="U39" s="10" t="s">
        <x:v>420</x:v>
      </x:c>
      <x:c r="V39" s="9" t="s">
        <x:v>311</x:v>
      </x:c>
      <x:c r="W39" s="9" t="s">
        <x:v>431</x:v>
      </x:c>
      <x:c r="X39" s="9" t="s">
        <x:v>313</x:v>
      </x:c>
      <x:c r="Y39" s="9" t="s">
        <x:v>432</x:v>
      </x:c>
      <x:c r="Z39" s="9" t="str">
        <x:v>VERIFIED</x:v>
      </x:c>
      <x:c r="AA39" s="10"/>
      <x:c r="AB39" s="10" t="str">
        <x:v>M</x:v>
      </x:c>
      <x:c r="AC39" s="10" t="str">
        <x:v>2026-07-30</x:v>
      </x:c>
      <x:c r="AD39" s="10" t="str">
        <x:v>2026-07-30</x:v>
      </x:c>
      <x:c r="AE39" s="10" t="str">
        <x:v>docs/reports/TXWZS_V5_S1A2_REUSE_DECISION_001.md；docs/testing/V5_G1_CONTRACT_TEST_MATRIX.md；docs/reports/TXWZS_V5_G1_CONTRACT_PACKAGE_INDEPENDENT_REVIEW_001.md</x:v>
      </x:c>
      <x:c r="AF39" s="10" t="str">
        <x:v>RVW-V5-G1-001</x:v>
      </x:c>
      <x:c r="AG39" s="10"/>
      <x:c r="AH39" s="23" t="n">
        <x:f aca="0">IF(AND($Z39="CANCELLED",COUNTIFS('09_风险与决策'!$A$5:$A$100,$AG39,'09_风险与决策'!$B$5:$B$100,"Decision",'09_风险与决策'!$L$5:$L$100,"ACCEPTED")&gt;0),0,1)</x:f>
        <x:v>1</x:v>
      </x:c>
      <x:c r="AI39" s="10" t="str">
        <x:v>b3a7f03 六合同由不同 reviewer 独立接受；仅 G1 VERIFIED，G2 runtime 仍需实施和独立复审。</x:v>
      </x:c>
      <x:c r="AJ39" s="9" t="s">
        <x:v>433</x:v>
      </x:c>
    </x:row>
    <x:row r="40" ht="52" hidden="0" customHeight="1">
      <x:c r="A40" s="9" t="s">
        <x:v>632</x:v>
      </x:c>
      <x:c r="B40" s="9" t="s">
        <x:v>625</x:v>
      </x:c>
      <x:c r="C40" s="9" t="s">
        <x:v>49</x:v>
      </x:c>
      <x:c r="D40" s="9" t="s">
        <x:v>626</x:v>
      </x:c>
      <x:c r="E40" s="10" t="s">
        <x:v>633</x:v>
      </x:c>
      <x:c r="F40" s="9" t="s">
        <x:v>425</x:v>
      </x:c>
      <x:c r="G40" s="10" t="s">
        <x:v>634</x:v>
      </x:c>
      <x:c r="H40" s="9" t="s">
        <x:v>410</x:v>
      </x:c>
      <x:c r="I40" s="9" t="s">
        <x:v>635</x:v>
      </x:c>
      <x:c r="J40" s="10" t="s">
        <x:v>412</x:v>
      </x:c>
      <x:c r="K40" s="10" t="str">
        <x:v>docs/architecture/V5_SAVE_SCHEMA_MIGRATION_ROLLBACK_CONTRACT_V0.md</x:v>
      </x:c>
      <x:c r="L40" s="9" t="s">
        <x:v>414</x:v>
      </x:c>
      <x:c r="M40" s="9" t="s">
        <x:v>635</x:v>
      </x:c>
      <x:c r="N40" s="9" t="s">
        <x:v>636</x:v>
      </x:c>
      <x:c r="O40" s="9" t="s">
        <x:v>428</x:v>
      </x:c>
      <x:c r="P40" s="9" t="s">
        <x:v>637</x:v>
      </x:c>
      <x:c r="Q40" s="10" t="s">
        <x:v>417</x:v>
      </x:c>
      <x:c r="R40" s="9" t="s">
        <x:v>638</x:v>
      </x:c>
      <x:c r="S40" s="9" t="s">
        <x:v>308</x:v>
      </x:c>
      <x:c r="T40" s="10" t="s">
        <x:v>419</x:v>
      </x:c>
      <x:c r="U40" s="10" t="s">
        <x:v>420</x:v>
      </x:c>
      <x:c r="V40" s="9" t="s">
        <x:v>311</x:v>
      </x:c>
      <x:c r="W40" s="9" t="s">
        <x:v>431</x:v>
      </x:c>
      <x:c r="X40" s="9" t="s">
        <x:v>313</x:v>
      </x:c>
      <x:c r="Y40" s="9" t="s">
        <x:v>432</x:v>
      </x:c>
      <x:c r="Z40" s="9" t="str">
        <x:v>VERIFIED</x:v>
      </x:c>
      <x:c r="AA40" s="10"/>
      <x:c r="AB40" s="10" t="str">
        <x:v>M</x:v>
      </x:c>
      <x:c r="AC40" s="10" t="str">
        <x:v>2026-07-30</x:v>
      </x:c>
      <x:c r="AD40" s="10" t="str">
        <x:v>2026-07-30</x:v>
      </x:c>
      <x:c r="AE40" s="10" t="str">
        <x:v>docs/architecture/V5_SAVE_SCHEMA_MIGRATION_ROLLBACK_CONTRACT_V0.md；docs/testing/V5_G1_CONTRACT_TEST_MATRIX.md；docs/reports/TXWZS_V5_G1_CONTRACT_PACKAGE_INDEPENDENT_REVIEW_001.md</x:v>
      </x:c>
      <x:c r="AF40" s="10" t="str">
        <x:v>RVW-V5-G1-001</x:v>
      </x:c>
      <x:c r="AG40" s="10"/>
      <x:c r="AH40" s="23" t="n">
        <x:f aca="0">IF(AND($Z40="CANCELLED",COUNTIFS('09_风险与决策'!$A$5:$A$100,$AG40,'09_风险与决策'!$B$5:$B$100,"Decision",'09_风险与决策'!$L$5:$L$100,"ACCEPTED")&gt;0),0,1)</x:f>
        <x:v>1</x:v>
      </x:c>
      <x:c r="AI40" s="10" t="str">
        <x:v>b3a7f03 六合同由不同 reviewer 独立接受；仅 G1 VERIFIED，G2 runtime 仍需实施和独立复审。</x:v>
      </x:c>
      <x:c r="AJ40" s="9" t="s">
        <x:v>433</x:v>
      </x:c>
    </x:row>
    <x:row r="41" ht="52" hidden="0" customHeight="1">
      <x:c r="A41" s="9" t="s">
        <x:v>639</x:v>
      </x:c>
      <x:c r="B41" s="9" t="s">
        <x:v>625</x:v>
      </x:c>
      <x:c r="C41" s="9" t="s">
        <x:v>49</x:v>
      </x:c>
      <x:c r="D41" s="9" t="s">
        <x:v>626</x:v>
      </x:c>
      <x:c r="E41" s="10" t="s">
        <x:v>640</x:v>
      </x:c>
      <x:c r="F41" s="9" t="s">
        <x:v>296</x:v>
      </x:c>
      <x:c r="G41" s="10" t="s">
        <x:v>641</x:v>
      </x:c>
      <x:c r="H41" s="9" t="s">
        <x:v>410</x:v>
      </x:c>
      <x:c r="I41" s="9" t="s">
        <x:v>642</x:v>
      </x:c>
      <x:c r="J41" s="10" t="s">
        <x:v>412</x:v>
      </x:c>
      <x:c r="K41" s="10" t="s">
        <x:v>413</x:v>
      </x:c>
      <x:c r="L41" s="9" t="s">
        <x:v>414</x:v>
      </x:c>
      <x:c r="M41" s="9" t="s">
        <x:v>642</x:v>
      </x:c>
      <x:c r="N41" s="9" t="s">
        <x:v>632</x:v>
      </x:c>
      <x:c r="O41" s="9" t="s">
        <x:v>459</x:v>
      </x:c>
      <x:c r="P41" s="9" t="s">
        <x:v>643</x:v>
      </x:c>
      <x:c r="Q41" s="10" t="s">
        <x:v>417</x:v>
      </x:c>
      <x:c r="R41" s="9" t="s">
        <x:v>644</x:v>
      </x:c>
      <x:c r="S41" s="9" t="s">
        <x:v>308</x:v>
      </x:c>
      <x:c r="T41" s="10" t="s">
        <x:v>419</x:v>
      </x:c>
      <x:c r="U41" s="10" t="s">
        <x:v>420</x:v>
      </x:c>
      <x:c r="V41" s="9" t="s">
        <x:v>311</x:v>
      </x:c>
      <x:c r="W41" s="9" t="s">
        <x:v>421</x:v>
      </x:c>
      <x:c r="X41" s="9" t="s">
        <x:v>313</x:v>
      </x:c>
      <x:c r="Y41" s="9" t="s">
        <x:v>432</x:v>
      </x:c>
      <x:c r="Z41" s="9" t="str">
        <x:v>VERIFIED</x:v>
      </x:c>
      <x:c r="AA41" s="10"/>
      <x:c r="AB41" s="10" t="str">
        <x:v>L</x:v>
      </x:c>
      <x:c r="AC41" s="10" t="str">
        <x:v>2026-07-30</x:v>
      </x:c>
      <x:c r="AD41" s="10" t="str">
        <x:v>2026-07-31</x:v>
      </x:c>
      <x:c r="AE41" s="10" t="str">
        <x:v>docs/reports/TXWZS_V5_P5_CAMPAIGN_PERSISTENC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41" s="10" t="str">
        <x:v>RVW-V5-G2-003</x:v>
      </x:c>
      <x:c r="AG41" s="10"/>
      <x:c r="AH41" s="23" t="n">
        <x:f aca="0">IF(AND($Z41="CANCELLED",COUNTIFS('09_风险与决策'!$A$5:$A$100,$AG41,'09_风险与决策'!$B$5:$B$100,"Decision",'09_风险与决策'!$L$5:$L$100,"ACCEPTED")&gt;0),0,1)</x:f>
        <x:v>1</x:v>
      </x:c>
      <x:c r="AI41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41" s="9" t="s">
        <x:v>462</x:v>
      </x:c>
    </x:row>
    <x:row r="42" ht="52" hidden="0" customHeight="1">
      <x:c r="A42" s="9" t="s">
        <x:v>645</x:v>
      </x:c>
      <x:c r="B42" s="9" t="s">
        <x:v>625</x:v>
      </x:c>
      <x:c r="C42" s="9" t="s">
        <x:v>49</x:v>
      </x:c>
      <x:c r="D42" s="9" t="s">
        <x:v>626</x:v>
      </x:c>
      <x:c r="E42" s="10" t="s">
        <x:v>646</x:v>
      </x:c>
      <x:c r="F42" s="9" t="s">
        <x:v>296</x:v>
      </x:c>
      <x:c r="G42" s="10" t="s">
        <x:v>647</x:v>
      </x:c>
      <x:c r="H42" s="9" t="s">
        <x:v>410</x:v>
      </x:c>
      <x:c r="I42" s="9" t="s">
        <x:v>648</x:v>
      </x:c>
      <x:c r="J42" s="10" t="s">
        <x:v>412</x:v>
      </x:c>
      <x:c r="K42" s="10" t="s">
        <x:v>413</x:v>
      </x:c>
      <x:c r="L42" s="9" t="s">
        <x:v>414</x:v>
      </x:c>
      <x:c r="M42" s="9" t="s">
        <x:v>648</x:v>
      </x:c>
      <x:c r="N42" s="9" t="s">
        <x:v>649</x:v>
      </x:c>
      <x:c r="O42" s="9" t="s">
        <x:v>459</x:v>
      </x:c>
      <x:c r="P42" s="9" t="s">
        <x:v>650</x:v>
      </x:c>
      <x:c r="Q42" s="10" t="s">
        <x:v>417</x:v>
      </x:c>
      <x:c r="R42" s="9" t="s">
        <x:v>651</x:v>
      </x:c>
      <x:c r="S42" s="9" t="s">
        <x:v>308</x:v>
      </x:c>
      <x:c r="T42" s="10" t="s">
        <x:v>419</x:v>
      </x:c>
      <x:c r="U42" s="10" t="s">
        <x:v>420</x:v>
      </x:c>
      <x:c r="V42" s="9" t="s">
        <x:v>311</x:v>
      </x:c>
      <x:c r="W42" s="9" t="s">
        <x:v>421</x:v>
      </x:c>
      <x:c r="X42" s="9" t="s">
        <x:v>313</x:v>
      </x:c>
      <x:c r="Y42" s="9" t="s">
        <x:v>432</x:v>
      </x:c>
      <x:c r="Z42" s="9" t="str">
        <x:v>VERIFIED</x:v>
      </x:c>
      <x:c r="AA42" s="10"/>
      <x:c r="AB42" s="10" t="str">
        <x:v>L</x:v>
      </x:c>
      <x:c r="AC42" s="10" t="str">
        <x:v>2026-07-30</x:v>
      </x:c>
      <x:c r="AD42" s="10" t="str">
        <x:v>2026-07-31</x:v>
      </x:c>
      <x:c r="AE42" s="10" t="str">
        <x:v>docs/reports/TXWZS_V5_P5_CAMPAIGN_PERSISTENC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42" s="10" t="str">
        <x:v>RVW-V5-G2-003</x:v>
      </x:c>
      <x:c r="AG42" s="10"/>
      <x:c r="AH42" s="23" t="n">
        <x:f aca="0">IF(AND($Z42="CANCELLED",COUNTIFS('09_风险与决策'!$A$5:$A$100,$AG42,'09_风险与决策'!$B$5:$B$100,"Decision",'09_风险与决策'!$L$5:$L$100,"ACCEPTED")&gt;0),0,1)</x:f>
        <x:v>1</x:v>
      </x:c>
      <x:c r="AI42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42" s="9" t="s">
        <x:v>462</x:v>
      </x:c>
    </x:row>
    <x:row r="43" ht="52" hidden="0" customHeight="1">
      <x:c r="A43" s="9" t="s">
        <x:v>652</x:v>
      </x:c>
      <x:c r="B43" s="9" t="s">
        <x:v>625</x:v>
      </x:c>
      <x:c r="C43" s="9" t="s">
        <x:v>49</x:v>
      </x:c>
      <x:c r="D43" s="9" t="s">
        <x:v>626</x:v>
      </x:c>
      <x:c r="E43" s="10" t="s">
        <x:v>653</x:v>
      </x:c>
      <x:c r="F43" s="9" t="s">
        <x:v>486</x:v>
      </x:c>
      <x:c r="G43" s="10" t="s">
        <x:v>654</x:v>
      </x:c>
      <x:c r="H43" s="9" t="s">
        <x:v>410</x:v>
      </x:c>
      <x:c r="I43" s="9" t="s">
        <x:v>655</x:v>
      </x:c>
      <x:c r="J43" s="10" t="s">
        <x:v>412</x:v>
      </x:c>
      <x:c r="K43" s="10" t="s">
        <x:v>413</x:v>
      </x:c>
      <x:c r="L43" s="9" t="s">
        <x:v>414</x:v>
      </x:c>
      <x:c r="M43" s="9" t="s">
        <x:v>655</x:v>
      </x:c>
      <x:c r="N43" s="9" t="s">
        <x:v>645</x:v>
      </x:c>
      <x:c r="O43" s="9" t="s">
        <x:v>459</x:v>
      </x:c>
      <x:c r="P43" s="9" t="s">
        <x:v>656</x:v>
      </x:c>
      <x:c r="Q43" s="10" t="s">
        <x:v>417</x:v>
      </x:c>
      <x:c r="R43" s="9" t="s">
        <x:v>657</x:v>
      </x:c>
      <x:c r="S43" s="9" t="s">
        <x:v>308</x:v>
      </x:c>
      <x:c r="T43" s="10" t="s">
        <x:v>419</x:v>
      </x:c>
      <x:c r="U43" s="10" t="s">
        <x:v>420</x:v>
      </x:c>
      <x:c r="V43" s="9" t="s">
        <x:v>311</x:v>
      </x:c>
      <x:c r="W43" s="9" t="s">
        <x:v>421</x:v>
      </x:c>
      <x:c r="X43" s="9" t="s">
        <x:v>313</x:v>
      </x:c>
      <x:c r="Y43" s="9" t="s">
        <x:v>432</x:v>
      </x:c>
      <x:c r="Z43" s="9" t="str">
        <x:v>VERIFIED</x:v>
      </x:c>
      <x:c r="AA43" s="10"/>
      <x:c r="AB43" s="10" t="str">
        <x:v>L</x:v>
      </x:c>
      <x:c r="AC43" s="10" t="str">
        <x:v>2026-07-30</x:v>
      </x:c>
      <x:c r="AD43" s="10" t="str">
        <x:v>2026-07-31</x:v>
      </x:c>
      <x:c r="AE43" s="10" t="str">
        <x:v>docs/reports/TXWZS_V5_P5_CAMPAIGN_PERSISTENCE_IMPLEMENTATION_001.md；docs/reports/TXWZS_V5_G2_RUNTIME_PACKAGE_001.md；/tmp/txwzs-v5-g2-full.M4M7T7；docs/reports/TXWZS_V5_G2_RUNTIME_PACKAGE_INDEPENDENT_REVIEW_001.md；docs/reports/TXWZS_V5_G2_STABLE_ID_BOUNDARY_REPAIR_FRESH_INDEPENDENT_REVIEW_003.md</x:v>
      </x:c>
      <x:c r="AF43" s="10" t="str">
        <x:v>RVW-V5-G2-003</x:v>
      </x:c>
      <x:c r="AG43" s="10"/>
      <x:c r="AH43" s="23" t="n">
        <x:f aca="0">IF(AND($Z43="CANCELLED",COUNTIFS('09_风险与决策'!$A$5:$A$100,$AG43,'09_风险与决策'!$B$5:$B$100,"Decision",'09_风险与决策'!$L$5:$L$100,"ACCEPTED")&gt;0),0,1)</x:f>
        <x:v>1</x:v>
      </x:c>
      <x:c r="AI43" s="10" t="str">
        <x:v>RVW-V5-G2-001 发现 stable-ID sequence 缺陷；fab962c 完成四文件最小修复与永久回归。RVW-V5-G2-003 绑定 cd7be2b→e2c1096→5d659243→fab962c→4d0fbfc，独立通过 29/29 边界探针、P5 51/51、focused 6/6·185、tracked 33/33·1739、all-present 35/35·1871/1905；本任务仅在 V5-G2 VERIFIED，G3 及以后未启动。</x:v>
      </x:c>
      <x:c r="AJ43" s="9" t="s">
        <x:v>462</x:v>
      </x:c>
    </x:row>
    <x:row r="44" ht="52" hidden="0" customHeight="1">
      <x:c r="A44" s="9" t="s">
        <x:v>658</x:v>
      </x:c>
      <x:c r="B44" s="9" t="s">
        <x:v>659</x:v>
      </x:c>
      <x:c r="C44" s="9" t="s">
        <x:v>49</x:v>
      </x:c>
      <x:c r="D44" s="9" t="s">
        <x:v>660</x:v>
      </x:c>
      <x:c r="E44" s="10" t="s">
        <x:v>661</x:v>
      </x:c>
      <x:c r="F44" s="9" t="s">
        <x:v>662</x:v>
      </x:c>
      <x:c r="G44" s="10" t="s">
        <x:v>663</x:v>
      </x:c>
      <x:c r="H44" s="9" t="s">
        <x:v>410</x:v>
      </x:c>
      <x:c r="I44" s="10" t="s">
        <x:v>664</x:v>
      </x:c>
      <x:c r="J44" s="10" t="s">
        <x:v>412</x:v>
      </x:c>
      <x:c r="K44" s="10" t="s">
        <x:v>413</x:v>
      </x:c>
      <x:c r="L44" s="9" t="s">
        <x:v>414</x:v>
      </x:c>
      <x:c r="M44" s="10" t="s">
        <x:v>664</x:v>
      </x:c>
      <x:c r="N44" s="9" t="s">
        <x:v>533</x:v>
      </x:c>
      <x:c r="O44" s="9" t="s">
        <x:v>665</x:v>
      </x:c>
      <x:c r="P44" s="10" t="s">
        <x:v>666</x:v>
      </x:c>
      <x:c r="Q44" s="10" t="s">
        <x:v>667</x:v>
      </x:c>
      <x:c r="R44" s="9" t="s">
        <x:v>668</x:v>
      </x:c>
      <x:c r="S44" s="9" t="s">
        <x:v>308</x:v>
      </x:c>
      <x:c r="T44" s="10" t="s">
        <x:v>419</x:v>
      </x:c>
      <x:c r="U44" s="10" t="s">
        <x:v>420</x:v>
      </x:c>
      <x:c r="V44" s="9" t="s">
        <x:v>311</x:v>
      </x:c>
      <x:c r="W44" s="9" t="s">
        <x:v>421</x:v>
      </x:c>
      <x:c r="X44" s="9" t="s">
        <x:v>452</x:v>
      </x:c>
      <x:c r="Y44" s="9" t="s">
        <x:v>381</x:v>
      </x:c>
      <x:c r="Z44" s="9" t="s">
        <x:v>6</x:v>
      </x:c>
      <x:c r="AA44" s="10"/>
      <x:c r="AB44" s="10"/>
      <x:c r="AC44" s="10"/>
      <x:c r="AD44" s="10"/>
      <x:c r="AE44" s="10"/>
      <x:c r="AF44" s="10"/>
      <x:c r="AG44" s="10"/>
      <x:c r="AH44" s="23" t="n">
        <x:f aca="0">IF(AND($Z44="CANCELLED",COUNTIFS('09_风险与决策'!$A$5:$A$100,$AG44,'09_风险与决策'!$B$5:$B$100,"Decision",'09_风险与决策'!$L$5:$L$100,"ACCEPTED")&gt;0),0,1)</x:f>
        <x:v>1</x:v>
      </x:c>
      <x:c r="AI44" s="10"/>
      <x:c r="AJ44" s="9" t="s">
        <x:v>669</x:v>
      </x:c>
    </x:row>
    <x:row r="45" ht="52" hidden="0" customHeight="1">
      <x:c r="A45" s="9" t="s">
        <x:v>670</x:v>
      </x:c>
      <x:c r="B45" s="9" t="s">
        <x:v>659</x:v>
      </x:c>
      <x:c r="C45" s="9" t="s">
        <x:v>49</x:v>
      </x:c>
      <x:c r="D45" s="9" t="s">
        <x:v>660</x:v>
      </x:c>
      <x:c r="E45" s="10" t="s">
        <x:v>671</x:v>
      </x:c>
      <x:c r="F45" s="9" t="s">
        <x:v>662</x:v>
      </x:c>
      <x:c r="G45" s="10" t="s">
        <x:v>672</x:v>
      </x:c>
      <x:c r="H45" s="9" t="s">
        <x:v>410</x:v>
      </x:c>
      <x:c r="I45" s="10" t="s">
        <x:v>673</x:v>
      </x:c>
      <x:c r="J45" s="10" t="s">
        <x:v>412</x:v>
      </x:c>
      <x:c r="K45" s="10" t="s">
        <x:v>413</x:v>
      </x:c>
      <x:c r="L45" s="9" t="s">
        <x:v>414</x:v>
      </x:c>
      <x:c r="M45" s="10" t="s">
        <x:v>673</x:v>
      </x:c>
      <x:c r="N45" s="9" t="s">
        <x:v>674</x:v>
      </x:c>
      <x:c r="O45" s="9" t="s">
        <x:v>665</x:v>
      </x:c>
      <x:c r="P45" s="10" t="s">
        <x:v>675</x:v>
      </x:c>
      <x:c r="Q45" s="10" t="s">
        <x:v>667</x:v>
      </x:c>
      <x:c r="R45" s="9" t="s">
        <x:v>676</x:v>
      </x:c>
      <x:c r="S45" s="9" t="s">
        <x:v>308</x:v>
      </x:c>
      <x:c r="T45" s="10" t="s">
        <x:v>419</x:v>
      </x:c>
      <x:c r="U45" s="10" t="s">
        <x:v>420</x:v>
      </x:c>
      <x:c r="V45" s="9" t="s">
        <x:v>311</x:v>
      </x:c>
      <x:c r="W45" s="9" t="s">
        <x:v>421</x:v>
      </x:c>
      <x:c r="X45" s="9" t="s">
        <x:v>452</x:v>
      </x:c>
      <x:c r="Y45" s="9" t="s">
        <x:v>314</x:v>
      </x:c>
      <x:c r="Z45" s="9" t="s">
        <x:v>6</x:v>
      </x:c>
      <x:c r="AA45" s="10"/>
      <x:c r="AB45" s="10"/>
      <x:c r="AC45" s="10"/>
      <x:c r="AD45" s="10"/>
      <x:c r="AE45" s="10"/>
      <x:c r="AF45" s="10"/>
      <x:c r="AG45" s="10"/>
      <x:c r="AH45" s="23" t="n">
        <x:f aca="0">IF(AND($Z45="CANCELLED",COUNTIFS('09_风险与决策'!$A$5:$A$100,$AG45,'09_风险与决策'!$B$5:$B$100,"Decision",'09_风险与决策'!$L$5:$L$100,"ACCEPTED")&gt;0),0,1)</x:f>
        <x:v>1</x:v>
      </x:c>
      <x:c r="AI45" s="10"/>
      <x:c r="AJ45" s="9" t="s">
        <x:v>669</x:v>
      </x:c>
    </x:row>
    <x:row r="46" ht="52" hidden="0" customHeight="1">
      <x:c r="A46" s="9" t="s">
        <x:v>677</x:v>
      </x:c>
      <x:c r="B46" s="9" t="s">
        <x:v>659</x:v>
      </x:c>
      <x:c r="C46" s="9" t="s">
        <x:v>49</x:v>
      </x:c>
      <x:c r="D46" s="9" t="s">
        <x:v>660</x:v>
      </x:c>
      <x:c r="E46" s="10" t="s">
        <x:v>678</x:v>
      </x:c>
      <x:c r="F46" s="9" t="s">
        <x:v>679</x:v>
      </x:c>
      <x:c r="G46" s="10" t="s">
        <x:v>680</x:v>
      </x:c>
      <x:c r="H46" s="9" t="s">
        <x:v>410</x:v>
      </x:c>
      <x:c r="I46" s="10" t="s">
        <x:v>681</x:v>
      </x:c>
      <x:c r="J46" s="10" t="s">
        <x:v>412</x:v>
      </x:c>
      <x:c r="K46" s="10" t="s">
        <x:v>413</x:v>
      </x:c>
      <x:c r="L46" s="9" t="s">
        <x:v>414</x:v>
      </x:c>
      <x:c r="M46" s="10" t="s">
        <x:v>681</x:v>
      </x:c>
      <x:c r="N46" s="9" t="s">
        <x:v>682</x:v>
      </x:c>
      <x:c r="O46" s="9" t="s">
        <x:v>665</x:v>
      </x:c>
      <x:c r="P46" s="10" t="s">
        <x:v>683</x:v>
      </x:c>
      <x:c r="Q46" s="10" t="s">
        <x:v>667</x:v>
      </x:c>
      <x:c r="R46" s="9" t="s">
        <x:v>684</x:v>
      </x:c>
      <x:c r="S46" s="9" t="s">
        <x:v>308</x:v>
      </x:c>
      <x:c r="T46" s="10" t="s">
        <x:v>419</x:v>
      </x:c>
      <x:c r="U46" s="10" t="s">
        <x:v>420</x:v>
      </x:c>
      <x:c r="V46" s="9" t="s">
        <x:v>311</x:v>
      </x:c>
      <x:c r="W46" s="9" t="s">
        <x:v>421</x:v>
      </x:c>
      <x:c r="X46" s="9" t="s">
        <x:v>313</x:v>
      </x:c>
      <x:c r="Y46" s="9" t="s">
        <x:v>314</x:v>
      </x:c>
      <x:c r="Z46" s="9" t="s">
        <x:v>6</x:v>
      </x:c>
      <x:c r="AA46" s="10"/>
      <x:c r="AB46" s="10"/>
      <x:c r="AC46" s="10"/>
      <x:c r="AD46" s="10"/>
      <x:c r="AE46" s="10"/>
      <x:c r="AF46" s="10"/>
      <x:c r="AG46" s="10"/>
      <x:c r="AH46" s="23" t="n">
        <x:f aca="0">IF(AND($Z46="CANCELLED",COUNTIFS('09_风险与决策'!$A$5:$A$100,$AG46,'09_风险与决策'!$B$5:$B$100,"Decision",'09_风险与决策'!$L$5:$L$100,"ACCEPTED")&gt;0),0,1)</x:f>
        <x:v>1</x:v>
      </x:c>
      <x:c r="AI46" s="10"/>
      <x:c r="AJ46" s="9" t="s">
        <x:v>669</x:v>
      </x:c>
    </x:row>
    <x:row r="47" ht="52" hidden="0" customHeight="1">
      <x:c r="A47" s="9" t="s">
        <x:v>685</x:v>
      </x:c>
      <x:c r="B47" s="9" t="s">
        <x:v>686</x:v>
      </x:c>
      <x:c r="C47" s="9" t="s">
        <x:v>49</x:v>
      </x:c>
      <x:c r="D47" s="9" t="s">
        <x:v>687</x:v>
      </x:c>
      <x:c r="E47" s="10" t="s">
        <x:v>688</x:v>
      </x:c>
      <x:c r="F47" s="9" t="s">
        <x:v>689</x:v>
      </x:c>
      <x:c r="G47" s="10" t="s">
        <x:v>690</x:v>
      </x:c>
      <x:c r="H47" s="9" t="s">
        <x:v>410</x:v>
      </x:c>
      <x:c r="I47" s="10" t="s">
        <x:v>691</x:v>
      </x:c>
      <x:c r="J47" s="10" t="s">
        <x:v>412</x:v>
      </x:c>
      <x:c r="K47" s="10" t="s">
        <x:v>413</x:v>
      </x:c>
      <x:c r="L47" s="9" t="s">
        <x:v>414</x:v>
      </x:c>
      <x:c r="M47" s="10" t="s">
        <x:v>691</x:v>
      </x:c>
      <x:c r="N47" s="9" t="s">
        <x:v>423</x:v>
      </x:c>
      <x:c r="O47" s="9" t="s">
        <x:v>459</x:v>
      </x:c>
      <x:c r="P47" s="10" t="s">
        <x:v>692</x:v>
      </x:c>
      <x:c r="Q47" s="10" t="s">
        <x:v>417</x:v>
      </x:c>
      <x:c r="R47" s="9" t="s">
        <x:v>693</x:v>
      </x:c>
      <x:c r="S47" s="9" t="s">
        <x:v>308</x:v>
      </x:c>
      <x:c r="T47" s="10" t="s">
        <x:v>419</x:v>
      </x:c>
      <x:c r="U47" s="10" t="s">
        <x:v>420</x:v>
      </x:c>
      <x:c r="V47" s="9" t="s">
        <x:v>311</x:v>
      </x:c>
      <x:c r="W47" s="9" t="s">
        <x:v>421</x:v>
      </x:c>
      <x:c r="X47" s="9" t="s">
        <x:v>452</x:v>
      </x:c>
      <x:c r="Y47" s="9" t="s">
        <x:v>381</x:v>
      </x:c>
      <x:c r="Z47" s="9" t="s">
        <x:v>6</x:v>
      </x:c>
      <x:c r="AA47" s="10"/>
      <x:c r="AB47" s="10"/>
      <x:c r="AC47" s="10"/>
      <x:c r="AD47" s="10"/>
      <x:c r="AE47" s="10"/>
      <x:c r="AF47" s="10"/>
      <x:c r="AG47" s="10"/>
      <x:c r="AH47" s="23" t="n">
        <x:f aca="0">IF(AND($Z47="CANCELLED",COUNTIFS('09_风险与决策'!$A$5:$A$100,$AG47,'09_风险与决策'!$B$5:$B$100,"Decision",'09_风险与决策'!$L$5:$L$100,"ACCEPTED")&gt;0),0,1)</x:f>
        <x:v>1</x:v>
      </x:c>
      <x:c r="AI47" s="10"/>
      <x:c r="AJ47" s="9" t="s">
        <x:v>623</x:v>
      </x:c>
    </x:row>
    <x:row r="48" ht="52" hidden="0" customHeight="1">
      <x:c r="A48" s="9" t="s">
        <x:v>694</x:v>
      </x:c>
      <x:c r="B48" s="9" t="s">
        <x:v>686</x:v>
      </x:c>
      <x:c r="C48" s="9" t="s">
        <x:v>49</x:v>
      </x:c>
      <x:c r="D48" s="9" t="s">
        <x:v>687</x:v>
      </x:c>
      <x:c r="E48" s="10" t="s">
        <x:v>695</x:v>
      </x:c>
      <x:c r="F48" s="9" t="s">
        <x:v>689</x:v>
      </x:c>
      <x:c r="G48" s="10" t="s">
        <x:v>696</x:v>
      </x:c>
      <x:c r="H48" s="9" t="s">
        <x:v>410</x:v>
      </x:c>
      <x:c r="I48" s="10" t="s">
        <x:v>697</x:v>
      </x:c>
      <x:c r="J48" s="10" t="s">
        <x:v>412</x:v>
      </x:c>
      <x:c r="K48" s="10" t="s">
        <x:v>413</x:v>
      </x:c>
      <x:c r="L48" s="9" t="s">
        <x:v>414</x:v>
      </x:c>
      <x:c r="M48" s="10" t="s">
        <x:v>697</x:v>
      </x:c>
      <x:c r="N48" s="9" t="s">
        <x:v>698</x:v>
      </x:c>
      <x:c r="O48" s="9" t="s">
        <x:v>459</x:v>
      </x:c>
      <x:c r="P48" s="10" t="s">
        <x:v>699</x:v>
      </x:c>
      <x:c r="Q48" s="10" t="s">
        <x:v>417</x:v>
      </x:c>
      <x:c r="R48" s="9" t="s">
        <x:v>700</x:v>
      </x:c>
      <x:c r="S48" s="9" t="s">
        <x:v>308</x:v>
      </x:c>
      <x:c r="T48" s="10" t="s">
        <x:v>419</x:v>
      </x:c>
      <x:c r="U48" s="10" t="s">
        <x:v>420</x:v>
      </x:c>
      <x:c r="V48" s="9" t="s">
        <x:v>311</x:v>
      </x:c>
      <x:c r="W48" s="9" t="s">
        <x:v>421</x:v>
      </x:c>
      <x:c r="X48" s="9" t="s">
        <x:v>313</x:v>
      </x:c>
      <x:c r="Y48" s="9" t="s">
        <x:v>314</x:v>
      </x:c>
      <x:c r="Z48" s="9" t="s">
        <x:v>6</x:v>
      </x:c>
      <x:c r="AA48" s="10"/>
      <x:c r="AB48" s="10"/>
      <x:c r="AC48" s="10"/>
      <x:c r="AD48" s="10"/>
      <x:c r="AE48" s="10"/>
      <x:c r="AF48" s="10"/>
      <x:c r="AG48" s="10"/>
      <x:c r="AH48" s="23" t="n">
        <x:f aca="0">IF(AND($Z48="CANCELLED",COUNTIFS('09_风险与决策'!$A$5:$A$100,$AG48,'09_风险与决策'!$B$5:$B$100,"Decision",'09_风险与决策'!$L$5:$L$100,"ACCEPTED")&gt;0),0,1)</x:f>
        <x:v>1</x:v>
      </x:c>
      <x:c r="AI48" s="10"/>
      <x:c r="AJ48" s="9" t="s">
        <x:v>623</x:v>
      </x:c>
    </x:row>
    <x:row r="49" ht="52" hidden="0" customHeight="1">
      <x:c r="A49" s="9" t="s">
        <x:v>701</x:v>
      </x:c>
      <x:c r="B49" s="9" t="s">
        <x:v>686</x:v>
      </x:c>
      <x:c r="C49" s="9" t="s">
        <x:v>49</x:v>
      </x:c>
      <x:c r="D49" s="9" t="s">
        <x:v>687</x:v>
      </x:c>
      <x:c r="E49" s="10" t="s">
        <x:v>702</x:v>
      </x:c>
      <x:c r="F49" s="9" t="s">
        <x:v>689</x:v>
      </x:c>
      <x:c r="G49" s="9" t="s">
        <x:v>703</x:v>
      </x:c>
      <x:c r="H49" s="9" t="s">
        <x:v>410</x:v>
      </x:c>
      <x:c r="I49" s="9" t="s">
        <x:v>704</x:v>
      </x:c>
      <x:c r="J49" s="10" t="s">
        <x:v>412</x:v>
      </x:c>
      <x:c r="K49" s="10" t="s">
        <x:v>413</x:v>
      </x:c>
      <x:c r="L49" s="9" t="s">
        <x:v>414</x:v>
      </x:c>
      <x:c r="M49" s="9" t="s">
        <x:v>704</x:v>
      </x:c>
      <x:c r="N49" s="9" t="s">
        <x:v>694</x:v>
      </x:c>
      <x:c r="O49" s="9" t="s">
        <x:v>620</x:v>
      </x:c>
      <x:c r="P49" s="9" t="s">
        <x:v>705</x:v>
      </x:c>
      <x:c r="Q49" s="10" t="s">
        <x:v>417</x:v>
      </x:c>
      <x:c r="R49" s="9" t="s">
        <x:v>706</x:v>
      </x:c>
      <x:c r="S49" s="9" t="s">
        <x:v>308</x:v>
      </x:c>
      <x:c r="T49" s="10" t="s">
        <x:v>419</x:v>
      </x:c>
      <x:c r="U49" s="10" t="s">
        <x:v>420</x:v>
      </x:c>
      <x:c r="V49" s="9" t="s">
        <x:v>311</x:v>
      </x:c>
      <x:c r="W49" s="9" t="s">
        <x:v>421</x:v>
      </x:c>
      <x:c r="X49" s="9" t="s">
        <x:v>313</x:v>
      </x:c>
      <x:c r="Y49" s="9" t="s">
        <x:v>314</x:v>
      </x:c>
      <x:c r="Z49" s="9" t="s">
        <x:v>6</x:v>
      </x:c>
      <x:c r="AA49" s="10"/>
      <x:c r="AB49" s="10"/>
      <x:c r="AC49" s="10"/>
      <x:c r="AD49" s="10"/>
      <x:c r="AE49" s="10"/>
      <x:c r="AF49" s="10"/>
      <x:c r="AG49" s="10"/>
      <x:c r="AH49" s="23" t="n">
        <x:f aca="0">IF(AND($Z49="CANCELLED",COUNTIFS('09_风险与决策'!$A$5:$A$100,$AG49,'09_风险与决策'!$B$5:$B$100,"Decision",'09_风险与决策'!$L$5:$L$100,"ACCEPTED")&gt;0),0,1)</x:f>
        <x:v>1</x:v>
      </x:c>
      <x:c r="AI49" s="10"/>
      <x:c r="AJ49" s="9" t="s">
        <x:v>623</x:v>
      </x:c>
    </x:row>
    <x:row r="50" ht="52" hidden="0" customHeight="1">
      <x:c r="A50" s="9" t="s">
        <x:v>707</x:v>
      </x:c>
      <x:c r="B50" s="9" t="s">
        <x:v>686</x:v>
      </x:c>
      <x:c r="C50" s="9" t="s">
        <x:v>49</x:v>
      </x:c>
      <x:c r="D50" s="9" t="s">
        <x:v>687</x:v>
      </x:c>
      <x:c r="E50" s="10" t="s">
        <x:v>708</x:v>
      </x:c>
      <x:c r="F50" s="9" t="s">
        <x:v>709</x:v>
      </x:c>
      <x:c r="G50" s="10" t="s">
        <x:v>710</x:v>
      </x:c>
      <x:c r="H50" s="9" t="s">
        <x:v>410</x:v>
      </x:c>
      <x:c r="I50" s="10" t="s">
        <x:v>711</x:v>
      </x:c>
      <x:c r="J50" s="10" t="s">
        <x:v>412</x:v>
      </x:c>
      <x:c r="K50" s="10" t="s">
        <x:v>413</x:v>
      </x:c>
      <x:c r="L50" s="9" t="s">
        <x:v>414</x:v>
      </x:c>
      <x:c r="M50" s="10" t="s">
        <x:v>711</x:v>
      </x:c>
      <x:c r="N50" s="9" t="s">
        <x:v>712</x:v>
      </x:c>
      <x:c r="O50" s="9" t="s">
        <x:v>665</x:v>
      </x:c>
      <x:c r="P50" s="10" t="s">
        <x:v>713</x:v>
      </x:c>
      <x:c r="Q50" s="10" t="s">
        <x:v>667</x:v>
      </x:c>
      <x:c r="R50" s="9" t="s">
        <x:v>714</x:v>
      </x:c>
      <x:c r="S50" s="9" t="s">
        <x:v>308</x:v>
      </x:c>
      <x:c r="T50" s="10" t="s">
        <x:v>419</x:v>
      </x:c>
      <x:c r="U50" s="10" t="s">
        <x:v>420</x:v>
      </x:c>
      <x:c r="V50" s="9" t="s">
        <x:v>311</x:v>
      </x:c>
      <x:c r="W50" s="9" t="s">
        <x:v>421</x:v>
      </x:c>
      <x:c r="X50" s="9" t="s">
        <x:v>313</x:v>
      </x:c>
      <x:c r="Y50" s="9" t="s">
        <x:v>314</x:v>
      </x:c>
      <x:c r="Z50" s="9" t="s">
        <x:v>6</x:v>
      </x:c>
      <x:c r="AA50" s="10"/>
      <x:c r="AB50" s="10"/>
      <x:c r="AC50" s="10"/>
      <x:c r="AD50" s="10"/>
      <x:c r="AE50" s="10"/>
      <x:c r="AF50" s="10"/>
      <x:c r="AG50" s="10"/>
      <x:c r="AH50" s="23" t="n">
        <x:f aca="0">IF(AND($Z50="CANCELLED",COUNTIFS('09_风险与决策'!$A$5:$A$100,$AG50,'09_风险与决策'!$B$5:$B$100,"Decision",'09_风险与决策'!$L$5:$L$100,"ACCEPTED")&gt;0),0,1)</x:f>
        <x:v>1</x:v>
      </x:c>
      <x:c r="AI50" s="10"/>
      <x:c r="AJ50" s="9" t="s">
        <x:v>669</x:v>
      </x:c>
    </x:row>
    <x:row r="51" ht="52" hidden="0" customHeight="1">
      <x:c r="A51" s="9" t="s">
        <x:v>715</x:v>
      </x:c>
      <x:c r="B51" s="9" t="s">
        <x:v>686</x:v>
      </x:c>
      <x:c r="C51" s="9" t="s">
        <x:v>49</x:v>
      </x:c>
      <x:c r="D51" s="9" t="s">
        <x:v>687</x:v>
      </x:c>
      <x:c r="E51" s="10" t="s">
        <x:v>716</x:v>
      </x:c>
      <x:c r="F51" s="9" t="s">
        <x:v>323</x:v>
      </x:c>
      <x:c r="G51" s="10" t="s">
        <x:v>717</x:v>
      </x:c>
      <x:c r="H51" s="9" t="s">
        <x:v>410</x:v>
      </x:c>
      <x:c r="I51" s="9" t="s">
        <x:v>718</x:v>
      </x:c>
      <x:c r="J51" s="10" t="s">
        <x:v>412</x:v>
      </x:c>
      <x:c r="K51" s="10" t="s">
        <x:v>413</x:v>
      </x:c>
      <x:c r="L51" s="9" t="s">
        <x:v>414</x:v>
      </x:c>
      <x:c r="M51" s="9" t="s">
        <x:v>718</x:v>
      </x:c>
      <x:c r="N51" s="9" t="s">
        <x:v>707</x:v>
      </x:c>
      <x:c r="O51" s="9" t="s">
        <x:v>719</x:v>
      </x:c>
      <x:c r="P51" s="9" t="s">
        <x:v>720</x:v>
      </x:c>
      <x:c r="Q51" s="10" t="s">
        <x:v>417</x:v>
      </x:c>
      <x:c r="R51" s="9" t="s">
        <x:v>721</x:v>
      </x:c>
      <x:c r="S51" s="9" t="s">
        <x:v>308</x:v>
      </x:c>
      <x:c r="T51" s="10" t="s">
        <x:v>419</x:v>
      </x:c>
      <x:c r="U51" s="10" t="s">
        <x:v>420</x:v>
      </x:c>
      <x:c r="V51" s="9" t="s">
        <x:v>311</x:v>
      </x:c>
      <x:c r="W51" s="9" t="s">
        <x:v>431</x:v>
      </x:c>
      <x:c r="X51" s="9" t="s">
        <x:v>313</x:v>
      </x:c>
      <x:c r="Y51" s="9" t="s">
        <x:v>432</x:v>
      </x:c>
      <x:c r="Z51" s="9" t="s">
        <x:v>6</x:v>
      </x:c>
      <x:c r="AA51" s="10"/>
      <x:c r="AB51" s="10"/>
      <x:c r="AC51" s="10"/>
      <x:c r="AD51" s="10"/>
      <x:c r="AE51" s="10"/>
      <x:c r="AF51" s="10"/>
      <x:c r="AG51" s="10"/>
      <x:c r="AH51" s="23" t="n">
        <x:f aca="0">IF(AND($Z51="CANCELLED",COUNTIFS('09_风险与决策'!$A$5:$A$100,$AG51,'09_风险与决策'!$B$5:$B$100,"Decision",'09_风险与决策'!$L$5:$L$100,"ACCEPTED")&gt;0),0,1)</x:f>
        <x:v>1</x:v>
      </x:c>
      <x:c r="AI51" s="10"/>
      <x:c r="AJ51" s="9" t="s">
        <x:v>722</x:v>
      </x:c>
    </x:row>
    <x:row r="52" ht="52" hidden="0" customHeight="1">
      <x:c r="A52" s="9" t="s">
        <x:v>723</x:v>
      </x:c>
      <x:c r="B52" s="9" t="s">
        <x:v>686</x:v>
      </x:c>
      <x:c r="C52" s="9" t="s">
        <x:v>49</x:v>
      </x:c>
      <x:c r="D52" s="9" t="s">
        <x:v>687</x:v>
      </x:c>
      <x:c r="E52" s="10" t="s">
        <x:v>724</x:v>
      </x:c>
      <x:c r="F52" s="9" t="s">
        <x:v>725</x:v>
      </x:c>
      <x:c r="G52" s="10" t="s">
        <x:v>726</x:v>
      </x:c>
      <x:c r="H52" s="9" t="s">
        <x:v>410</x:v>
      </x:c>
      <x:c r="I52" s="10" t="s">
        <x:v>727</x:v>
      </x:c>
      <x:c r="J52" s="10" t="s">
        <x:v>412</x:v>
      </x:c>
      <x:c r="K52" s="10" t="s">
        <x:v>413</x:v>
      </x:c>
      <x:c r="L52" s="9" t="s">
        <x:v>414</x:v>
      </x:c>
      <x:c r="M52" s="10" t="s">
        <x:v>727</x:v>
      </x:c>
      <x:c r="N52" s="9" t="s">
        <x:v>715</x:v>
      </x:c>
      <x:c r="O52" s="9" t="s">
        <x:v>719</x:v>
      </x:c>
      <x:c r="P52" s="10" t="s">
        <x:v>728</x:v>
      </x:c>
      <x:c r="Q52" s="10" t="s">
        <x:v>417</x:v>
      </x:c>
      <x:c r="R52" s="9" t="s">
        <x:v>729</x:v>
      </x:c>
      <x:c r="S52" s="9" t="s">
        <x:v>308</x:v>
      </x:c>
      <x:c r="T52" s="10" t="s">
        <x:v>419</x:v>
      </x:c>
      <x:c r="U52" s="10" t="s">
        <x:v>420</x:v>
      </x:c>
      <x:c r="V52" s="9" t="s">
        <x:v>311</x:v>
      </x:c>
      <x:c r="W52" s="9" t="s">
        <x:v>421</x:v>
      </x:c>
      <x:c r="X52" s="9" t="s">
        <x:v>313</x:v>
      </x:c>
      <x:c r="Y52" s="9" t="s">
        <x:v>314</x:v>
      </x:c>
      <x:c r="Z52" s="9" t="s">
        <x:v>6</x:v>
      </x:c>
      <x:c r="AA52" s="10"/>
      <x:c r="AB52" s="10"/>
      <x:c r="AC52" s="10"/>
      <x:c r="AD52" s="10"/>
      <x:c r="AE52" s="10"/>
      <x:c r="AF52" s="10"/>
      <x:c r="AG52" s="10"/>
      <x:c r="AH52" s="23" t="n">
        <x:f aca="0">IF(AND($Z52="CANCELLED",COUNTIFS('09_风险与决策'!$A$5:$A$100,$AG52,'09_风险与决策'!$B$5:$B$100,"Decision",'09_风险与决策'!$L$5:$L$100,"ACCEPTED")&gt;0),0,1)</x:f>
        <x:v>1</x:v>
      </x:c>
      <x:c r="AI52" s="10"/>
      <x:c r="AJ52" s="9" t="s">
        <x:v>722</x:v>
      </x:c>
    </x:row>
    <x:row r="53" ht="52" hidden="0" customHeight="1">
      <x:c r="A53" s="9" t="s">
        <x:v>730</x:v>
      </x:c>
      <x:c r="B53" s="9" t="s">
        <x:v>686</x:v>
      </x:c>
      <x:c r="C53" s="9" t="s">
        <x:v>49</x:v>
      </x:c>
      <x:c r="D53" s="9" t="s">
        <x:v>687</x:v>
      </x:c>
      <x:c r="E53" s="10" t="s">
        <x:v>731</x:v>
      </x:c>
      <x:c r="F53" s="9" t="s">
        <x:v>366</x:v>
      </x:c>
      <x:c r="G53" s="10" t="s">
        <x:v>732</x:v>
      </x:c>
      <x:c r="H53" s="9" t="s">
        <x:v>410</x:v>
      </x:c>
      <x:c r="I53" s="9" t="s">
        <x:v>733</x:v>
      </x:c>
      <x:c r="J53" s="10" t="s">
        <x:v>412</x:v>
      </x:c>
      <x:c r="K53" s="10" t="s">
        <x:v>413</x:v>
      </x:c>
      <x:c r="L53" s="9" t="s">
        <x:v>414</x:v>
      </x:c>
      <x:c r="M53" s="9" t="s">
        <x:v>733</x:v>
      </x:c>
      <x:c r="N53" s="9" t="s">
        <x:v>723</x:v>
      </x:c>
      <x:c r="O53" s="9" t="s">
        <x:v>734</x:v>
      </x:c>
      <x:c r="P53" s="9" t="s">
        <x:v>735</x:v>
      </x:c>
      <x:c r="Q53" s="10" t="s">
        <x:v>417</x:v>
      </x:c>
      <x:c r="R53" s="9" t="s">
        <x:v>736</x:v>
      </x:c>
      <x:c r="S53" s="9" t="s">
        <x:v>308</x:v>
      </x:c>
      <x:c r="T53" s="10" t="s">
        <x:v>419</x:v>
      </x:c>
      <x:c r="U53" s="10" t="s">
        <x:v>420</x:v>
      </x:c>
      <x:c r="V53" s="9" t="s">
        <x:v>311</x:v>
      </x:c>
      <x:c r="W53" s="9" t="s">
        <x:v>431</x:v>
      </x:c>
      <x:c r="X53" s="9" t="s">
        <x:v>313</x:v>
      </x:c>
      <x:c r="Y53" s="9" t="s">
        <x:v>314</x:v>
      </x:c>
      <x:c r="Z53" s="9" t="s">
        <x:v>6</x:v>
      </x:c>
      <x:c r="AA53" s="10"/>
      <x:c r="AB53" s="10"/>
      <x:c r="AC53" s="10"/>
      <x:c r="AD53" s="10"/>
      <x:c r="AE53" s="10"/>
      <x:c r="AF53" s="10"/>
      <x:c r="AG53" s="10"/>
      <x:c r="AH53" s="23" t="n">
        <x:f aca="0">IF(AND($Z53="CANCELLED",COUNTIFS('09_风险与决策'!$A$5:$A$100,$AG53,'09_风险与决策'!$B$5:$B$100,"Decision",'09_风险与决策'!$L$5:$L$100,"ACCEPTED")&gt;0),0,1)</x:f>
        <x:v>1</x:v>
      </x:c>
      <x:c r="AI53" s="10"/>
      <x:c r="AJ53" s="9" t="s">
        <x:v>737</x:v>
      </x:c>
    </x:row>
    <x:row r="54" ht="52" hidden="0" customHeight="1">
      <x:c r="A54" s="9" t="s">
        <x:v>738</x:v>
      </x:c>
      <x:c r="B54" s="9" t="s">
        <x:v>739</x:v>
      </x:c>
      <x:c r="C54" s="9" t="s">
        <x:v>51</x:v>
      </x:c>
      <x:c r="D54" s="9" t="s">
        <x:v>740</x:v>
      </x:c>
      <x:c r="E54" s="10" t="s">
        <x:v>741</x:v>
      </x:c>
      <x:c r="F54" s="9" t="s">
        <x:v>425</x:v>
      </x:c>
      <x:c r="G54" s="10" t="s">
        <x:v>742</x:v>
      </x:c>
      <x:c r="H54" s="9" t="s">
        <x:v>743</x:v>
      </x:c>
      <x:c r="I54" s="10" t="s">
        <x:v>742</x:v>
      </x:c>
      <x:c r="J54" s="10" t="s">
        <x:v>744</x:v>
      </x:c>
      <x:c r="K54" s="10" t="s">
        <x:v>745</x:v>
      </x:c>
      <x:c r="L54" s="9" t="s">
        <x:v>746</x:v>
      </x:c>
      <x:c r="M54" s="10" t="s">
        <x:v>742</x:v>
      </x:c>
      <x:c r="N54" s="9" t="s">
        <x:v>730</x:v>
      </x:c>
      <x:c r="O54" s="9" t="s">
        <x:v>747</x:v>
      </x:c>
      <x:c r="P54" s="10" t="s">
        <x:v>748</x:v>
      </x:c>
      <x:c r="Q54" s="10" t="s">
        <x:v>749</x:v>
      </x:c>
      <x:c r="R54" s="9" t="s">
        <x:v>750</x:v>
      </x:c>
      <x:c r="S54" s="9" t="s">
        <x:v>308</x:v>
      </x:c>
      <x:c r="T54" s="10" t="s">
        <x:v>751</x:v>
      </x:c>
      <x:c r="U54" s="10" t="s">
        <x:v>752</x:v>
      </x:c>
      <x:c r="V54" s="9" t="s">
        <x:v>311</x:v>
      </x:c>
      <x:c r="W54" s="9" t="s">
        <x:v>753</x:v>
      </x:c>
      <x:c r="X54" s="9" t="s">
        <x:v>313</x:v>
      </x:c>
      <x:c r="Y54" s="9" t="s">
        <x:v>314</x:v>
      </x:c>
      <x:c r="Z54" s="9" t="s">
        <x:v>6</x:v>
      </x:c>
      <x:c r="AA54" s="10"/>
      <x:c r="AB54" s="10"/>
      <x:c r="AC54" s="10"/>
      <x:c r="AD54" s="10"/>
      <x:c r="AE54" s="10"/>
      <x:c r="AF54" s="10"/>
      <x:c r="AG54" s="10"/>
      <x:c r="AH54" s="23" t="n">
        <x:f aca="0">IF(AND($Z54="CANCELLED",COUNTIFS('09_风险与决策'!$A$5:$A$100,$AG54,'09_风险与决策'!$B$5:$B$100,"Decision",'09_风险与决策'!$L$5:$L$100,"ACCEPTED")&gt;0),0,1)</x:f>
        <x:v>1</x:v>
      </x:c>
      <x:c r="AI54" s="10"/>
      <x:c r="AJ54" s="9" t="s">
        <x:v>754</x:v>
      </x:c>
    </x:row>
    <x:row r="55" ht="52" hidden="0" customHeight="1">
      <x:c r="A55" s="9" t="s">
        <x:v>755</x:v>
      </x:c>
      <x:c r="B55" s="9" t="s">
        <x:v>739</x:v>
      </x:c>
      <x:c r="C55" s="9" t="s">
        <x:v>51</x:v>
      </x:c>
      <x:c r="D55" s="9" t="s">
        <x:v>740</x:v>
      </x:c>
      <x:c r="E55" s="10" t="s">
        <x:v>756</x:v>
      </x:c>
      <x:c r="F55" s="9" t="s">
        <x:v>425</x:v>
      </x:c>
      <x:c r="G55" s="10" t="s">
        <x:v>757</x:v>
      </x:c>
      <x:c r="H55" s="9" t="s">
        <x:v>743</x:v>
      </x:c>
      <x:c r="I55" s="10" t="s">
        <x:v>757</x:v>
      </x:c>
      <x:c r="J55" s="10" t="s">
        <x:v>744</x:v>
      </x:c>
      <x:c r="K55" s="10" t="s">
        <x:v>745</x:v>
      </x:c>
      <x:c r="L55" s="9" t="s">
        <x:v>746</x:v>
      </x:c>
      <x:c r="M55" s="10" t="s">
        <x:v>757</x:v>
      </x:c>
      <x:c r="N55" s="9" t="s">
        <x:v>738</x:v>
      </x:c>
      <x:c r="O55" s="9" t="s">
        <x:v>747</x:v>
      </x:c>
      <x:c r="P55" s="10" t="s">
        <x:v>758</x:v>
      </x:c>
      <x:c r="Q55" s="10" t="s">
        <x:v>749</x:v>
      </x:c>
      <x:c r="R55" s="9" t="s">
        <x:v>759</x:v>
      </x:c>
      <x:c r="S55" s="9" t="s">
        <x:v>308</x:v>
      </x:c>
      <x:c r="T55" s="10" t="s">
        <x:v>751</x:v>
      </x:c>
      <x:c r="U55" s="10" t="s">
        <x:v>752</x:v>
      </x:c>
      <x:c r="V55" s="9" t="s">
        <x:v>311</x:v>
      </x:c>
      <x:c r="W55" s="9" t="s">
        <x:v>753</x:v>
      </x:c>
      <x:c r="X55" s="9" t="s">
        <x:v>313</x:v>
      </x:c>
      <x:c r="Y55" s="9" t="s">
        <x:v>314</x:v>
      </x:c>
      <x:c r="Z55" s="9" t="s">
        <x:v>6</x:v>
      </x:c>
      <x:c r="AA55" s="10"/>
      <x:c r="AB55" s="10"/>
      <x:c r="AC55" s="10"/>
      <x:c r="AD55" s="10"/>
      <x:c r="AE55" s="10"/>
      <x:c r="AF55" s="10"/>
      <x:c r="AG55" s="10"/>
      <x:c r="AH55" s="23" t="n">
        <x:f aca="0">IF(AND($Z55="CANCELLED",COUNTIFS('09_风险与决策'!$A$5:$A$100,$AG55,'09_风险与决策'!$B$5:$B$100,"Decision",'09_风险与决策'!$L$5:$L$100,"ACCEPTED")&gt;0),0,1)</x:f>
        <x:v>1</x:v>
      </x:c>
      <x:c r="AI55" s="10"/>
      <x:c r="AJ55" s="9" t="s">
        <x:v>760</x:v>
      </x:c>
    </x:row>
    <x:row r="56" ht="52" hidden="0" customHeight="1">
      <x:c r="A56" s="9" t="s">
        <x:v>761</x:v>
      </x:c>
      <x:c r="B56" s="9" t="s">
        <x:v>762</x:v>
      </x:c>
      <x:c r="C56" s="9" t="s">
        <x:v>51</x:v>
      </x:c>
      <x:c r="D56" s="9" t="s">
        <x:v>763</x:v>
      </x:c>
      <x:c r="E56" s="10" t="s">
        <x:v>764</x:v>
      </x:c>
      <x:c r="F56" s="9" t="s">
        <x:v>296</x:v>
      </x:c>
      <x:c r="G56" s="10" t="s">
        <x:v>765</x:v>
      </x:c>
      <x:c r="H56" s="9" t="s">
        <x:v>743</x:v>
      </x:c>
      <x:c r="I56" s="10" t="s">
        <x:v>765</x:v>
      </x:c>
      <x:c r="J56" s="10" t="s">
        <x:v>744</x:v>
      </x:c>
      <x:c r="K56" s="10" t="s">
        <x:v>745</x:v>
      </x:c>
      <x:c r="L56" s="9" t="s">
        <x:v>746</x:v>
      </x:c>
      <x:c r="M56" s="10" t="s">
        <x:v>765</x:v>
      </x:c>
      <x:c r="N56" s="9" t="s">
        <x:v>755</x:v>
      </x:c>
      <x:c r="O56" s="9" t="s">
        <x:v>747</x:v>
      </x:c>
      <x:c r="P56" s="10" t="s">
        <x:v>766</x:v>
      </x:c>
      <x:c r="Q56" s="10" t="s">
        <x:v>749</x:v>
      </x:c>
      <x:c r="R56" s="9" t="s">
        <x:v>767</x:v>
      </x:c>
      <x:c r="S56" s="9" t="s">
        <x:v>308</x:v>
      </x:c>
      <x:c r="T56" s="10" t="s">
        <x:v>751</x:v>
      </x:c>
      <x:c r="U56" s="10" t="s">
        <x:v>752</x:v>
      </x:c>
      <x:c r="V56" s="9" t="s">
        <x:v>311</x:v>
      </x:c>
      <x:c r="W56" s="9" t="s">
        <x:v>753</x:v>
      </x:c>
      <x:c r="X56" s="9" t="s">
        <x:v>452</x:v>
      </x:c>
      <x:c r="Y56" s="9" t="s">
        <x:v>381</x:v>
      </x:c>
      <x:c r="Z56" s="9" t="s">
        <x:v>6</x:v>
      </x:c>
      <x:c r="AA56" s="10"/>
      <x:c r="AB56" s="10"/>
      <x:c r="AC56" s="10"/>
      <x:c r="AD56" s="10"/>
      <x:c r="AE56" s="10"/>
      <x:c r="AF56" s="10"/>
      <x:c r="AG56" s="10"/>
      <x:c r="AH56" s="23" t="n">
        <x:f aca="0">IF(AND($Z56="CANCELLED",COUNTIFS('09_风险与决策'!$A$5:$A$100,$AG56,'09_风险与决策'!$B$5:$B$100,"Decision",'09_风险与决策'!$L$5:$L$100,"ACCEPTED")&gt;0),0,1)</x:f>
        <x:v>1</x:v>
      </x:c>
      <x:c r="AI56" s="10"/>
      <x:c r="AJ56" s="9" t="s">
        <x:v>768</x:v>
      </x:c>
    </x:row>
    <x:row r="57" ht="52" hidden="0" customHeight="1">
      <x:c r="A57" s="9" t="s">
        <x:v>769</x:v>
      </x:c>
      <x:c r="B57" s="9" t="s">
        <x:v>762</x:v>
      </x:c>
      <x:c r="C57" s="9" t="s">
        <x:v>51</x:v>
      </x:c>
      <x:c r="D57" s="9" t="s">
        <x:v>763</x:v>
      </x:c>
      <x:c r="E57" s="10" t="s">
        <x:v>770</x:v>
      </x:c>
      <x:c r="F57" s="9" t="s">
        <x:v>296</x:v>
      </x:c>
      <x:c r="G57" s="10" t="s">
        <x:v>771</x:v>
      </x:c>
      <x:c r="H57" s="9" t="s">
        <x:v>743</x:v>
      </x:c>
      <x:c r="I57" s="10" t="s">
        <x:v>771</x:v>
      </x:c>
      <x:c r="J57" s="10" t="s">
        <x:v>744</x:v>
      </x:c>
      <x:c r="K57" s="10" t="s">
        <x:v>745</x:v>
      </x:c>
      <x:c r="L57" s="9" t="s">
        <x:v>746</x:v>
      </x:c>
      <x:c r="M57" s="10" t="s">
        <x:v>771</x:v>
      </x:c>
      <x:c r="N57" s="9" t="s">
        <x:v>761</x:v>
      </x:c>
      <x:c r="O57" s="9" t="s">
        <x:v>747</x:v>
      </x:c>
      <x:c r="P57" s="10" t="s">
        <x:v>772</x:v>
      </x:c>
      <x:c r="Q57" s="10" t="s">
        <x:v>749</x:v>
      </x:c>
      <x:c r="R57" s="9" t="s">
        <x:v>773</x:v>
      </x:c>
      <x:c r="S57" s="9" t="s">
        <x:v>308</x:v>
      </x:c>
      <x:c r="T57" s="10" t="s">
        <x:v>751</x:v>
      </x:c>
      <x:c r="U57" s="10" t="s">
        <x:v>752</x:v>
      </x:c>
      <x:c r="V57" s="9" t="s">
        <x:v>311</x:v>
      </x:c>
      <x:c r="W57" s="9" t="s">
        <x:v>753</x:v>
      </x:c>
      <x:c r="X57" s="9" t="s">
        <x:v>452</x:v>
      </x:c>
      <x:c r="Y57" s="9" t="s">
        <x:v>381</x:v>
      </x:c>
      <x:c r="Z57" s="9" t="s">
        <x:v>6</x:v>
      </x:c>
      <x:c r="AA57" s="10"/>
      <x:c r="AB57" s="10"/>
      <x:c r="AC57" s="10"/>
      <x:c r="AD57" s="10"/>
      <x:c r="AE57" s="10"/>
      <x:c r="AF57" s="10"/>
      <x:c r="AG57" s="10"/>
      <x:c r="AH57" s="23" t="n">
        <x:f aca="0">IF(AND($Z57="CANCELLED",COUNTIFS('09_风险与决策'!$A$5:$A$100,$AG57,'09_风险与决策'!$B$5:$B$100,"Decision",'09_风险与决策'!$L$5:$L$100,"ACCEPTED")&gt;0),0,1)</x:f>
        <x:v>1</x:v>
      </x:c>
      <x:c r="AI57" s="10"/>
      <x:c r="AJ57" s="9" t="s">
        <x:v>768</x:v>
      </x:c>
    </x:row>
    <x:row r="58" ht="52" hidden="0" customHeight="1">
      <x:c r="A58" s="9" t="s">
        <x:v>774</x:v>
      </x:c>
      <x:c r="B58" s="9" t="s">
        <x:v>762</x:v>
      </x:c>
      <x:c r="C58" s="9" t="s">
        <x:v>51</x:v>
      </x:c>
      <x:c r="D58" s="9" t="s">
        <x:v>763</x:v>
      </x:c>
      <x:c r="E58" s="10" t="s">
        <x:v>775</x:v>
      </x:c>
      <x:c r="F58" s="9" t="s">
        <x:v>296</x:v>
      </x:c>
      <x:c r="G58" s="10" t="s">
        <x:v>776</x:v>
      </x:c>
      <x:c r="H58" s="9" t="s">
        <x:v>743</x:v>
      </x:c>
      <x:c r="I58" s="10" t="s">
        <x:v>776</x:v>
      </x:c>
      <x:c r="J58" s="10" t="s">
        <x:v>744</x:v>
      </x:c>
      <x:c r="K58" s="10" t="s">
        <x:v>745</x:v>
      </x:c>
      <x:c r="L58" s="9" t="s">
        <x:v>746</x:v>
      </x:c>
      <x:c r="M58" s="10" t="s">
        <x:v>776</x:v>
      </x:c>
      <x:c r="N58" s="9" t="s">
        <x:v>769</x:v>
      </x:c>
      <x:c r="O58" s="9" t="s">
        <x:v>747</x:v>
      </x:c>
      <x:c r="P58" s="10" t="s">
        <x:v>777</x:v>
      </x:c>
      <x:c r="Q58" s="10" t="s">
        <x:v>749</x:v>
      </x:c>
      <x:c r="R58" s="9" t="s">
        <x:v>778</x:v>
      </x:c>
      <x:c r="S58" s="9" t="s">
        <x:v>308</x:v>
      </x:c>
      <x:c r="T58" s="10" t="s">
        <x:v>751</x:v>
      </x:c>
      <x:c r="U58" s="10" t="s">
        <x:v>752</x:v>
      </x:c>
      <x:c r="V58" s="9" t="s">
        <x:v>311</x:v>
      </x:c>
      <x:c r="W58" s="9" t="s">
        <x:v>753</x:v>
      </x:c>
      <x:c r="X58" s="9" t="s">
        <x:v>452</x:v>
      </x:c>
      <x:c r="Y58" s="9" t="s">
        <x:v>381</x:v>
      </x:c>
      <x:c r="Z58" s="9" t="s">
        <x:v>6</x:v>
      </x:c>
      <x:c r="AA58" s="10"/>
      <x:c r="AB58" s="10"/>
      <x:c r="AC58" s="10"/>
      <x:c r="AD58" s="10"/>
      <x:c r="AE58" s="10"/>
      <x:c r="AF58" s="10"/>
      <x:c r="AG58" s="10"/>
      <x:c r="AH58" s="23" t="n">
        <x:f aca="0">IF(AND($Z58="CANCELLED",COUNTIFS('09_风险与决策'!$A$5:$A$100,$AG58,'09_风险与决策'!$B$5:$B$100,"Decision",'09_风险与决策'!$L$5:$L$100,"ACCEPTED")&gt;0),0,1)</x:f>
        <x:v>1</x:v>
      </x:c>
      <x:c r="AI58" s="10"/>
      <x:c r="AJ58" s="9" t="s">
        <x:v>768</x:v>
      </x:c>
    </x:row>
    <x:row r="59" ht="52" hidden="0" customHeight="1">
      <x:c r="A59" s="9" t="s">
        <x:v>779</x:v>
      </x:c>
      <x:c r="B59" s="9" t="s">
        <x:v>762</x:v>
      </x:c>
      <x:c r="C59" s="9" t="s">
        <x:v>51</x:v>
      </x:c>
      <x:c r="D59" s="9" t="s">
        <x:v>763</x:v>
      </x:c>
      <x:c r="E59" s="10" t="s">
        <x:v>780</x:v>
      </x:c>
      <x:c r="F59" s="9" t="s">
        <x:v>296</x:v>
      </x:c>
      <x:c r="G59" s="10" t="s">
        <x:v>781</x:v>
      </x:c>
      <x:c r="H59" s="9" t="s">
        <x:v>743</x:v>
      </x:c>
      <x:c r="I59" s="10" t="s">
        <x:v>781</x:v>
      </x:c>
      <x:c r="J59" s="10" t="s">
        <x:v>744</x:v>
      </x:c>
      <x:c r="K59" s="10" t="s">
        <x:v>745</x:v>
      </x:c>
      <x:c r="L59" s="9" t="s">
        <x:v>746</x:v>
      </x:c>
      <x:c r="M59" s="10" t="s">
        <x:v>781</x:v>
      </x:c>
      <x:c r="N59" s="9" t="s">
        <x:v>774</x:v>
      </x:c>
      <x:c r="O59" s="9" t="s">
        <x:v>747</x:v>
      </x:c>
      <x:c r="P59" s="10" t="s">
        <x:v>782</x:v>
      </x:c>
      <x:c r="Q59" s="10" t="s">
        <x:v>749</x:v>
      </x:c>
      <x:c r="R59" s="9" t="s">
        <x:v>783</x:v>
      </x:c>
      <x:c r="S59" s="9" t="s">
        <x:v>308</x:v>
      </x:c>
      <x:c r="T59" s="10" t="s">
        <x:v>751</x:v>
      </x:c>
      <x:c r="U59" s="10" t="s">
        <x:v>752</x:v>
      </x:c>
      <x:c r="V59" s="9" t="s">
        <x:v>311</x:v>
      </x:c>
      <x:c r="W59" s="9" t="s">
        <x:v>753</x:v>
      </x:c>
      <x:c r="X59" s="9" t="s">
        <x:v>452</x:v>
      </x:c>
      <x:c r="Y59" s="9" t="s">
        <x:v>381</x:v>
      </x:c>
      <x:c r="Z59" s="9" t="s">
        <x:v>6</x:v>
      </x:c>
      <x:c r="AA59" s="10"/>
      <x:c r="AB59" s="10"/>
      <x:c r="AC59" s="10"/>
      <x:c r="AD59" s="10"/>
      <x:c r="AE59" s="10"/>
      <x:c r="AF59" s="10"/>
      <x:c r="AG59" s="10"/>
      <x:c r="AH59" s="23" t="n">
        <x:f aca="0">IF(AND($Z59="CANCELLED",COUNTIFS('09_风险与决策'!$A$5:$A$100,$AG59,'09_风险与决策'!$B$5:$B$100,"Decision",'09_风险与决策'!$L$5:$L$100,"ACCEPTED")&gt;0),0,1)</x:f>
        <x:v>1</x:v>
      </x:c>
      <x:c r="AI59" s="10"/>
      <x:c r="AJ59" s="9" t="s">
        <x:v>768</x:v>
      </x:c>
    </x:row>
    <x:row r="60" ht="52" hidden="0" customHeight="1">
      <x:c r="A60" s="9" t="s">
        <x:v>784</x:v>
      </x:c>
      <x:c r="B60" s="9" t="s">
        <x:v>762</x:v>
      </x:c>
      <x:c r="C60" s="9" t="s">
        <x:v>51</x:v>
      </x:c>
      <x:c r="D60" s="9" t="s">
        <x:v>763</x:v>
      </x:c>
      <x:c r="E60" s="10" t="s">
        <x:v>785</x:v>
      </x:c>
      <x:c r="F60" s="9" t="s">
        <x:v>296</x:v>
      </x:c>
      <x:c r="G60" s="10" t="s">
        <x:v>786</x:v>
      </x:c>
      <x:c r="H60" s="9" t="s">
        <x:v>743</x:v>
      </x:c>
      <x:c r="I60" s="10" t="s">
        <x:v>786</x:v>
      </x:c>
      <x:c r="J60" s="10" t="s">
        <x:v>744</x:v>
      </x:c>
      <x:c r="K60" s="10" t="s">
        <x:v>745</x:v>
      </x:c>
      <x:c r="L60" s="9" t="s">
        <x:v>746</x:v>
      </x:c>
      <x:c r="M60" s="10" t="s">
        <x:v>786</x:v>
      </x:c>
      <x:c r="N60" s="9" t="s">
        <x:v>779</x:v>
      </x:c>
      <x:c r="O60" s="9" t="s">
        <x:v>747</x:v>
      </x:c>
      <x:c r="P60" s="10" t="s">
        <x:v>787</x:v>
      </x:c>
      <x:c r="Q60" s="10" t="s">
        <x:v>749</x:v>
      </x:c>
      <x:c r="R60" s="9" t="s">
        <x:v>788</x:v>
      </x:c>
      <x:c r="S60" s="9" t="s">
        <x:v>308</x:v>
      </x:c>
      <x:c r="T60" s="10" t="s">
        <x:v>751</x:v>
      </x:c>
      <x:c r="U60" s="10" t="s">
        <x:v>752</x:v>
      </x:c>
      <x:c r="V60" s="9" t="s">
        <x:v>311</x:v>
      </x:c>
      <x:c r="W60" s="9" t="s">
        <x:v>753</x:v>
      </x:c>
      <x:c r="X60" s="9" t="s">
        <x:v>452</x:v>
      </x:c>
      <x:c r="Y60" s="9" t="s">
        <x:v>381</x:v>
      </x:c>
      <x:c r="Z60" s="9" t="s">
        <x:v>6</x:v>
      </x:c>
      <x:c r="AA60" s="10"/>
      <x:c r="AB60" s="10"/>
      <x:c r="AC60" s="10"/>
      <x:c r="AD60" s="10"/>
      <x:c r="AE60" s="10"/>
      <x:c r="AF60" s="10"/>
      <x:c r="AG60" s="10"/>
      <x:c r="AH60" s="23" t="n">
        <x:f aca="0">IF(AND($Z60="CANCELLED",COUNTIFS('09_风险与决策'!$A$5:$A$100,$AG60,'09_风险与决策'!$B$5:$B$100,"Decision",'09_风险与决策'!$L$5:$L$100,"ACCEPTED")&gt;0),0,1)</x:f>
        <x:v>1</x:v>
      </x:c>
      <x:c r="AI60" s="10"/>
      <x:c r="AJ60" s="9" t="s">
        <x:v>768</x:v>
      </x:c>
    </x:row>
    <x:row r="61" ht="52" hidden="0" customHeight="1">
      <x:c r="A61" s="9" t="s">
        <x:v>789</x:v>
      </x:c>
      <x:c r="B61" s="9" t="s">
        <x:v>790</x:v>
      </x:c>
      <x:c r="C61" s="9" t="s">
        <x:v>51</x:v>
      </x:c>
      <x:c r="D61" s="9" t="s">
        <x:v>791</x:v>
      </x:c>
      <x:c r="E61" s="10" t="s">
        <x:v>792</x:v>
      </x:c>
      <x:c r="F61" s="9" t="s">
        <x:v>793</x:v>
      </x:c>
      <x:c r="G61" s="10" t="s">
        <x:v>794</x:v>
      </x:c>
      <x:c r="H61" s="9" t="s">
        <x:v>743</x:v>
      </x:c>
      <x:c r="I61" s="10" t="s">
        <x:v>794</x:v>
      </x:c>
      <x:c r="J61" s="10" t="s">
        <x:v>744</x:v>
      </x:c>
      <x:c r="K61" s="10" t="s">
        <x:v>745</x:v>
      </x:c>
      <x:c r="L61" s="9" t="s">
        <x:v>746</x:v>
      </x:c>
      <x:c r="M61" s="10" t="s">
        <x:v>794</x:v>
      </x:c>
      <x:c r="N61" s="9" t="s">
        <x:v>784</x:v>
      </x:c>
      <x:c r="O61" s="9" t="s">
        <x:v>747</x:v>
      </x:c>
      <x:c r="P61" s="10" t="s">
        <x:v>795</x:v>
      </x:c>
      <x:c r="Q61" s="10" t="s">
        <x:v>749</x:v>
      </x:c>
      <x:c r="R61" s="9" t="s">
        <x:v>796</x:v>
      </x:c>
      <x:c r="S61" s="9" t="s">
        <x:v>308</x:v>
      </x:c>
      <x:c r="T61" s="10" t="s">
        <x:v>751</x:v>
      </x:c>
      <x:c r="U61" s="10" t="s">
        <x:v>752</x:v>
      </x:c>
      <x:c r="V61" s="9" t="s">
        <x:v>311</x:v>
      </x:c>
      <x:c r="W61" s="9" t="s">
        <x:v>753</x:v>
      </x:c>
      <x:c r="X61" s="9" t="s">
        <x:v>452</x:v>
      </x:c>
      <x:c r="Y61" s="9" t="s">
        <x:v>314</x:v>
      </x:c>
      <x:c r="Z61" s="9" t="s">
        <x:v>6</x:v>
      </x:c>
      <x:c r="AA61" s="10"/>
      <x:c r="AB61" s="10"/>
      <x:c r="AC61" s="10"/>
      <x:c r="AD61" s="10"/>
      <x:c r="AE61" s="10"/>
      <x:c r="AF61" s="10"/>
      <x:c r="AG61" s="10"/>
      <x:c r="AH61" s="23" t="n">
        <x:f aca="0">IF(AND($Z61="CANCELLED",COUNTIFS('09_风险与决策'!$A$5:$A$100,$AG61,'09_风险与决策'!$B$5:$B$100,"Decision",'09_风险与决策'!$L$5:$L$100,"ACCEPTED")&gt;0),0,1)</x:f>
        <x:v>1</x:v>
      </x:c>
      <x:c r="AI61" s="10"/>
      <x:c r="AJ61" s="9" t="s">
        <x:v>768</x:v>
      </x:c>
    </x:row>
    <x:row r="62" ht="52" hidden="0" customHeight="1">
      <x:c r="A62" s="9" t="s">
        <x:v>797</x:v>
      </x:c>
      <x:c r="B62" s="9" t="s">
        <x:v>790</x:v>
      </x:c>
      <x:c r="C62" s="9" t="s">
        <x:v>51</x:v>
      </x:c>
      <x:c r="D62" s="9" t="s">
        <x:v>791</x:v>
      </x:c>
      <x:c r="E62" s="10" t="s">
        <x:v>798</x:v>
      </x:c>
      <x:c r="F62" s="9" t="s">
        <x:v>799</x:v>
      </x:c>
      <x:c r="G62" s="10" t="s">
        <x:v>800</x:v>
      </x:c>
      <x:c r="H62" s="9" t="s">
        <x:v>743</x:v>
      </x:c>
      <x:c r="I62" s="10" t="s">
        <x:v>800</x:v>
      </x:c>
      <x:c r="J62" s="10" t="s">
        <x:v>744</x:v>
      </x:c>
      <x:c r="K62" s="10" t="s">
        <x:v>745</x:v>
      </x:c>
      <x:c r="L62" s="9" t="s">
        <x:v>746</x:v>
      </x:c>
      <x:c r="M62" s="10" t="s">
        <x:v>800</x:v>
      </x:c>
      <x:c r="N62" s="9" t="s">
        <x:v>789</x:v>
      </x:c>
      <x:c r="O62" s="9" t="s">
        <x:v>747</x:v>
      </x:c>
      <x:c r="P62" s="10" t="s">
        <x:v>801</x:v>
      </x:c>
      <x:c r="Q62" s="10" t="s">
        <x:v>749</x:v>
      </x:c>
      <x:c r="R62" s="9" t="s">
        <x:v>802</x:v>
      </x:c>
      <x:c r="S62" s="9" t="s">
        <x:v>308</x:v>
      </x:c>
      <x:c r="T62" s="10" t="s">
        <x:v>751</x:v>
      </x:c>
      <x:c r="U62" s="10" t="s">
        <x:v>752</x:v>
      </x:c>
      <x:c r="V62" s="9" t="s">
        <x:v>311</x:v>
      </x:c>
      <x:c r="W62" s="9" t="s">
        <x:v>753</x:v>
      </x:c>
      <x:c r="X62" s="9" t="s">
        <x:v>452</x:v>
      </x:c>
      <x:c r="Y62" s="9" t="s">
        <x:v>381</x:v>
      </x:c>
      <x:c r="Z62" s="9" t="s">
        <x:v>6</x:v>
      </x:c>
      <x:c r="AA62" s="10"/>
      <x:c r="AB62" s="10"/>
      <x:c r="AC62" s="10"/>
      <x:c r="AD62" s="10"/>
      <x:c r="AE62" s="10"/>
      <x:c r="AF62" s="10"/>
      <x:c r="AG62" s="10"/>
      <x:c r="AH62" s="23" t="n">
        <x:f aca="0">IF(AND($Z62="CANCELLED",COUNTIFS('09_风险与决策'!$A$5:$A$100,$AG62,'09_风险与决策'!$B$5:$B$100,"Decision",'09_风险与决策'!$L$5:$L$100,"ACCEPTED")&gt;0),0,1)</x:f>
        <x:v>1</x:v>
      </x:c>
      <x:c r="AI62" s="10"/>
      <x:c r="AJ62" s="9" t="s">
        <x:v>768</x:v>
      </x:c>
    </x:row>
    <x:row r="63" ht="52" hidden="0" customHeight="1">
      <x:c r="A63" s="9" t="s">
        <x:v>803</x:v>
      </x:c>
      <x:c r="B63" s="9" t="s">
        <x:v>804</x:v>
      </x:c>
      <x:c r="C63" s="9" t="s">
        <x:v>51</x:v>
      </x:c>
      <x:c r="D63" s="9" t="s">
        <x:v>805</x:v>
      </x:c>
      <x:c r="E63" s="10" t="s">
        <x:v>806</x:v>
      </x:c>
      <x:c r="F63" s="9" t="s">
        <x:v>425</x:v>
      </x:c>
      <x:c r="G63" s="10" t="s">
        <x:v>807</x:v>
      </x:c>
      <x:c r="H63" s="9" t="s">
        <x:v>743</x:v>
      </x:c>
      <x:c r="I63" s="10" t="s">
        <x:v>807</x:v>
      </x:c>
      <x:c r="J63" s="10" t="s">
        <x:v>744</x:v>
      </x:c>
      <x:c r="K63" s="10" t="s">
        <x:v>745</x:v>
      </x:c>
      <x:c r="L63" s="9" t="s">
        <x:v>746</x:v>
      </x:c>
      <x:c r="M63" s="10" t="s">
        <x:v>807</x:v>
      </x:c>
      <x:c r="N63" s="9" t="s">
        <x:v>797</x:v>
      </x:c>
      <x:c r="O63" s="9" t="s">
        <x:v>747</x:v>
      </x:c>
      <x:c r="P63" s="10" t="s">
        <x:v>808</x:v>
      </x:c>
      <x:c r="Q63" s="10" t="s">
        <x:v>749</x:v>
      </x:c>
      <x:c r="R63" s="9" t="s">
        <x:v>809</x:v>
      </x:c>
      <x:c r="S63" s="9" t="s">
        <x:v>308</x:v>
      </x:c>
      <x:c r="T63" s="10" t="s">
        <x:v>751</x:v>
      </x:c>
      <x:c r="U63" s="10" t="s">
        <x:v>752</x:v>
      </x:c>
      <x:c r="V63" s="9" t="s">
        <x:v>311</x:v>
      </x:c>
      <x:c r="W63" s="9" t="s">
        <x:v>753</x:v>
      </x:c>
      <x:c r="X63" s="9" t="s">
        <x:v>452</x:v>
      </x:c>
      <x:c r="Y63" s="9" t="s">
        <x:v>314</x:v>
      </x:c>
      <x:c r="Z63" s="9" t="s">
        <x:v>6</x:v>
      </x:c>
      <x:c r="AA63" s="10"/>
      <x:c r="AB63" s="10"/>
      <x:c r="AC63" s="10"/>
      <x:c r="AD63" s="10"/>
      <x:c r="AE63" s="10"/>
      <x:c r="AF63" s="10"/>
      <x:c r="AG63" s="10"/>
      <x:c r="AH63" s="23" t="n">
        <x:f aca="0">IF(AND($Z63="CANCELLED",COUNTIFS('09_风险与决策'!$A$5:$A$100,$AG63,'09_风险与决策'!$B$5:$B$100,"Decision",'09_风险与决策'!$L$5:$L$100,"ACCEPTED")&gt;0),0,1)</x:f>
        <x:v>1</x:v>
      </x:c>
      <x:c r="AI63" s="10"/>
      <x:c r="AJ63" s="9" t="s">
        <x:v>768</x:v>
      </x:c>
    </x:row>
    <x:row r="64" ht="52" hidden="0" customHeight="1">
      <x:c r="A64" s="9" t="s">
        <x:v>810</x:v>
      </x:c>
      <x:c r="B64" s="9" t="s">
        <x:v>804</x:v>
      </x:c>
      <x:c r="C64" s="9" t="s">
        <x:v>51</x:v>
      </x:c>
      <x:c r="D64" s="9" t="s">
        <x:v>805</x:v>
      </x:c>
      <x:c r="E64" s="10" t="s">
        <x:v>811</x:v>
      </x:c>
      <x:c r="F64" s="9" t="s">
        <x:v>425</x:v>
      </x:c>
      <x:c r="G64" s="10" t="s">
        <x:v>812</x:v>
      </x:c>
      <x:c r="H64" s="9" t="s">
        <x:v>743</x:v>
      </x:c>
      <x:c r="I64" s="10" t="s">
        <x:v>812</x:v>
      </x:c>
      <x:c r="J64" s="10" t="s">
        <x:v>744</x:v>
      </x:c>
      <x:c r="K64" s="10" t="s">
        <x:v>745</x:v>
      </x:c>
      <x:c r="L64" s="9" t="s">
        <x:v>746</x:v>
      </x:c>
      <x:c r="M64" s="10" t="s">
        <x:v>812</x:v>
      </x:c>
      <x:c r="N64" s="9" t="s">
        <x:v>803</x:v>
      </x:c>
      <x:c r="O64" s="9" t="s">
        <x:v>747</x:v>
      </x:c>
      <x:c r="P64" s="10" t="s">
        <x:v>813</x:v>
      </x:c>
      <x:c r="Q64" s="10" t="s">
        <x:v>749</x:v>
      </x:c>
      <x:c r="R64" s="9" t="s">
        <x:v>814</x:v>
      </x:c>
      <x:c r="S64" s="9" t="s">
        <x:v>308</x:v>
      </x:c>
      <x:c r="T64" s="10" t="s">
        <x:v>751</x:v>
      </x:c>
      <x:c r="U64" s="10" t="s">
        <x:v>752</x:v>
      </x:c>
      <x:c r="V64" s="9" t="s">
        <x:v>311</x:v>
      </x:c>
      <x:c r="W64" s="9" t="s">
        <x:v>753</x:v>
      </x:c>
      <x:c r="X64" s="9" t="s">
        <x:v>452</x:v>
      </x:c>
      <x:c r="Y64" s="9" t="s">
        <x:v>314</x:v>
      </x:c>
      <x:c r="Z64" s="9" t="s">
        <x:v>6</x:v>
      </x:c>
      <x:c r="AA64" s="10"/>
      <x:c r="AB64" s="10"/>
      <x:c r="AC64" s="10"/>
      <x:c r="AD64" s="10"/>
      <x:c r="AE64" s="10"/>
      <x:c r="AF64" s="10"/>
      <x:c r="AG64" s="10"/>
      <x:c r="AH64" s="23" t="n">
        <x:f aca="0">IF(AND($Z64="CANCELLED",COUNTIFS('09_风险与决策'!$A$5:$A$100,$AG64,'09_风险与决策'!$B$5:$B$100,"Decision",'09_风险与决策'!$L$5:$L$100,"ACCEPTED")&gt;0),0,1)</x:f>
        <x:v>1</x:v>
      </x:c>
      <x:c r="AI64" s="10"/>
      <x:c r="AJ64" s="9" t="s">
        <x:v>768</x:v>
      </x:c>
    </x:row>
    <x:row r="65" ht="52" hidden="0" customHeight="1">
      <x:c r="A65" s="9" t="s">
        <x:v>815</x:v>
      </x:c>
      <x:c r="B65" s="9" t="s">
        <x:v>816</x:v>
      </x:c>
      <x:c r="C65" s="9" t="s">
        <x:v>51</x:v>
      </x:c>
      <x:c r="D65" s="9" t="s">
        <x:v>817</x:v>
      </x:c>
      <x:c r="E65" s="10" t="s">
        <x:v>818</x:v>
      </x:c>
      <x:c r="F65" s="9" t="s">
        <x:v>662</x:v>
      </x:c>
      <x:c r="G65" s="10" t="s">
        <x:v>819</x:v>
      </x:c>
      <x:c r="H65" s="9" t="s">
        <x:v>743</x:v>
      </x:c>
      <x:c r="I65" s="10" t="s">
        <x:v>819</x:v>
      </x:c>
      <x:c r="J65" s="10" t="s">
        <x:v>744</x:v>
      </x:c>
      <x:c r="K65" s="10" t="s">
        <x:v>745</x:v>
      </x:c>
      <x:c r="L65" s="9" t="s">
        <x:v>746</x:v>
      </x:c>
      <x:c r="M65" s="10" t="s">
        <x:v>819</x:v>
      </x:c>
      <x:c r="N65" s="9" t="s">
        <x:v>810</x:v>
      </x:c>
      <x:c r="O65" s="9" t="s">
        <x:v>747</x:v>
      </x:c>
      <x:c r="P65" s="10" t="s">
        <x:v>820</x:v>
      </x:c>
      <x:c r="Q65" s="10" t="s">
        <x:v>749</x:v>
      </x:c>
      <x:c r="R65" s="9" t="s">
        <x:v>821</x:v>
      </x:c>
      <x:c r="S65" s="9" t="s">
        <x:v>308</x:v>
      </x:c>
      <x:c r="T65" s="10" t="s">
        <x:v>751</x:v>
      </x:c>
      <x:c r="U65" s="10" t="s">
        <x:v>752</x:v>
      </x:c>
      <x:c r="V65" s="9" t="s">
        <x:v>311</x:v>
      </x:c>
      <x:c r="W65" s="9" t="s">
        <x:v>753</x:v>
      </x:c>
      <x:c r="X65" s="9" t="s">
        <x:v>452</x:v>
      </x:c>
      <x:c r="Y65" s="9" t="s">
        <x:v>381</x:v>
      </x:c>
      <x:c r="Z65" s="9" t="s">
        <x:v>6</x:v>
      </x:c>
      <x:c r="AA65" s="10"/>
      <x:c r="AB65" s="10"/>
      <x:c r="AC65" s="10"/>
      <x:c r="AD65" s="10"/>
      <x:c r="AE65" s="10"/>
      <x:c r="AF65" s="10"/>
      <x:c r="AG65" s="10"/>
      <x:c r="AH65" s="23" t="n">
        <x:f aca="0">IF(AND($Z65="CANCELLED",COUNTIFS('09_风险与决策'!$A$5:$A$100,$AG65,'09_风险与决策'!$B$5:$B$100,"Decision",'09_风险与决策'!$L$5:$L$100,"ACCEPTED")&gt;0),0,1)</x:f>
        <x:v>1</x:v>
      </x:c>
      <x:c r="AI65" s="10"/>
      <x:c r="AJ65" s="9" t="s">
        <x:v>822</x:v>
      </x:c>
    </x:row>
    <x:row r="66" ht="52" hidden="0" customHeight="1">
      <x:c r="A66" s="9" t="s">
        <x:v>823</x:v>
      </x:c>
      <x:c r="B66" s="9" t="s">
        <x:v>824</x:v>
      </x:c>
      <x:c r="C66" s="9" t="s">
        <x:v>51</x:v>
      </x:c>
      <x:c r="D66" s="9" t="s">
        <x:v>825</x:v>
      </x:c>
      <x:c r="E66" s="10" t="s">
        <x:v>826</x:v>
      </x:c>
      <x:c r="F66" s="9" t="s">
        <x:v>689</x:v>
      </x:c>
      <x:c r="G66" s="10" t="s">
        <x:v>827</x:v>
      </x:c>
      <x:c r="H66" s="9" t="s">
        <x:v>743</x:v>
      </x:c>
      <x:c r="I66" s="10" t="s">
        <x:v>827</x:v>
      </x:c>
      <x:c r="J66" s="10" t="s">
        <x:v>744</x:v>
      </x:c>
      <x:c r="K66" s="10" t="s">
        <x:v>745</x:v>
      </x:c>
      <x:c r="L66" s="9" t="s">
        <x:v>746</x:v>
      </x:c>
      <x:c r="M66" s="10" t="s">
        <x:v>827</x:v>
      </x:c>
      <x:c r="N66" s="9" t="s">
        <x:v>815</x:v>
      </x:c>
      <x:c r="O66" s="9" t="s">
        <x:v>747</x:v>
      </x:c>
      <x:c r="P66" s="10" t="s">
        <x:v>828</x:v>
      </x:c>
      <x:c r="Q66" s="10" t="s">
        <x:v>749</x:v>
      </x:c>
      <x:c r="R66" s="9" t="s">
        <x:v>829</x:v>
      </x:c>
      <x:c r="S66" s="9" t="s">
        <x:v>308</x:v>
      </x:c>
      <x:c r="T66" s="10" t="s">
        <x:v>751</x:v>
      </x:c>
      <x:c r="U66" s="10" t="s">
        <x:v>752</x:v>
      </x:c>
      <x:c r="V66" s="9" t="s">
        <x:v>311</x:v>
      </x:c>
      <x:c r="W66" s="9" t="s">
        <x:v>753</x:v>
      </x:c>
      <x:c r="X66" s="9" t="s">
        <x:v>313</x:v>
      </x:c>
      <x:c r="Y66" s="9" t="s">
        <x:v>381</x:v>
      </x:c>
      <x:c r="Z66" s="9" t="s">
        <x:v>6</x:v>
      </x:c>
      <x:c r="AA66" s="10"/>
      <x:c r="AB66" s="10"/>
      <x:c r="AC66" s="10"/>
      <x:c r="AD66" s="10"/>
      <x:c r="AE66" s="10"/>
      <x:c r="AF66" s="10"/>
      <x:c r="AG66" s="10"/>
      <x:c r="AH66" s="23" t="n">
        <x:f aca="0">IF(AND($Z66="CANCELLED",COUNTIFS('09_风险与决策'!$A$5:$A$100,$AG66,'09_风险与决策'!$B$5:$B$100,"Decision",'09_风险与决策'!$L$5:$L$100,"ACCEPTED")&gt;0),0,1)</x:f>
        <x:v>1</x:v>
      </x:c>
      <x:c r="AI66" s="10"/>
      <x:c r="AJ66" s="9" t="s">
        <x:v>830</x:v>
      </x:c>
    </x:row>
    <x:row r="67" ht="52" hidden="0" customHeight="1">
      <x:c r="A67" s="9" t="s">
        <x:v>831</x:v>
      </x:c>
      <x:c r="B67" s="9" t="s">
        <x:v>824</x:v>
      </x:c>
      <x:c r="C67" s="9" t="s">
        <x:v>51</x:v>
      </x:c>
      <x:c r="D67" s="9" t="s">
        <x:v>825</x:v>
      </x:c>
      <x:c r="E67" s="10" t="s">
        <x:v>832</x:v>
      </x:c>
      <x:c r="F67" s="9" t="s">
        <x:v>709</x:v>
      </x:c>
      <x:c r="G67" s="10" t="s">
        <x:v>833</x:v>
      </x:c>
      <x:c r="H67" s="9" t="s">
        <x:v>743</x:v>
      </x:c>
      <x:c r="I67" s="10" t="s">
        <x:v>833</x:v>
      </x:c>
      <x:c r="J67" s="10" t="s">
        <x:v>744</x:v>
      </x:c>
      <x:c r="K67" s="10" t="s">
        <x:v>745</x:v>
      </x:c>
      <x:c r="L67" s="9" t="s">
        <x:v>746</x:v>
      </x:c>
      <x:c r="M67" s="10" t="s">
        <x:v>833</x:v>
      </x:c>
      <x:c r="N67" s="9" t="s">
        <x:v>823</x:v>
      </x:c>
      <x:c r="O67" s="9" t="s">
        <x:v>747</x:v>
      </x:c>
      <x:c r="P67" s="10" t="s">
        <x:v>834</x:v>
      </x:c>
      <x:c r="Q67" s="10" t="s">
        <x:v>835</x:v>
      </x:c>
      <x:c r="R67" s="9" t="s">
        <x:v>836</x:v>
      </x:c>
      <x:c r="S67" s="9" t="s">
        <x:v>308</x:v>
      </x:c>
      <x:c r="T67" s="10" t="s">
        <x:v>751</x:v>
      </x:c>
      <x:c r="U67" s="10" t="s">
        <x:v>752</x:v>
      </x:c>
      <x:c r="V67" s="9" t="s">
        <x:v>311</x:v>
      </x:c>
      <x:c r="W67" s="9" t="s">
        <x:v>753</x:v>
      </x:c>
      <x:c r="X67" s="9" t="s">
        <x:v>313</x:v>
      </x:c>
      <x:c r="Y67" s="9" t="s">
        <x:v>381</x:v>
      </x:c>
      <x:c r="Z67" s="9" t="s">
        <x:v>6</x:v>
      </x:c>
      <x:c r="AA67" s="10"/>
      <x:c r="AB67" s="10"/>
      <x:c r="AC67" s="10"/>
      <x:c r="AD67" s="10"/>
      <x:c r="AE67" s="10"/>
      <x:c r="AF67" s="10"/>
      <x:c r="AG67" s="10"/>
      <x:c r="AH67" s="23" t="n">
        <x:f aca="0">IF(AND($Z67="CANCELLED",COUNTIFS('09_风险与决策'!$A$5:$A$100,$AG67,'09_风险与决策'!$B$5:$B$100,"Decision",'09_风险与决策'!$L$5:$L$100,"ACCEPTED")&gt;0),0,1)</x:f>
        <x:v>1</x:v>
      </x:c>
      <x:c r="AI67" s="10"/>
      <x:c r="AJ67" s="9" t="s">
        <x:v>837</x:v>
      </x:c>
    </x:row>
    <x:row r="68" ht="52" hidden="0" customHeight="1">
      <x:c r="A68" s="9" t="s">
        <x:v>838</x:v>
      </x:c>
      <x:c r="B68" s="9" t="s">
        <x:v>824</x:v>
      </x:c>
      <x:c r="C68" s="9" t="s">
        <x:v>51</x:v>
      </x:c>
      <x:c r="D68" s="9" t="s">
        <x:v>825</x:v>
      </x:c>
      <x:c r="E68" s="10" t="s">
        <x:v>839</x:v>
      </x:c>
      <x:c r="F68" s="9" t="s">
        <x:v>323</x:v>
      </x:c>
      <x:c r="G68" s="10" t="s">
        <x:v>840</x:v>
      </x:c>
      <x:c r="H68" s="9" t="s">
        <x:v>743</x:v>
      </x:c>
      <x:c r="I68" s="10" t="s">
        <x:v>840</x:v>
      </x:c>
      <x:c r="J68" s="10" t="s">
        <x:v>744</x:v>
      </x:c>
      <x:c r="K68" s="10" t="s">
        <x:v>745</x:v>
      </x:c>
      <x:c r="L68" s="9" t="s">
        <x:v>746</x:v>
      </x:c>
      <x:c r="M68" s="10" t="s">
        <x:v>840</x:v>
      </x:c>
      <x:c r="N68" s="9" t="s">
        <x:v>831</x:v>
      </x:c>
      <x:c r="O68" s="9" t="s">
        <x:v>747</x:v>
      </x:c>
      <x:c r="P68" s="10" t="s">
        <x:v>841</x:v>
      </x:c>
      <x:c r="Q68" s="10" t="s">
        <x:v>749</x:v>
      </x:c>
      <x:c r="R68" s="9" t="s">
        <x:v>842</x:v>
      </x:c>
      <x:c r="S68" s="9" t="s">
        <x:v>308</x:v>
      </x:c>
      <x:c r="T68" s="10" t="s">
        <x:v>751</x:v>
      </x:c>
      <x:c r="U68" s="10" t="s">
        <x:v>752</x:v>
      </x:c>
      <x:c r="V68" s="9" t="s">
        <x:v>311</x:v>
      </x:c>
      <x:c r="W68" s="9" t="s">
        <x:v>336</x:v>
      </x:c>
      <x:c r="X68" s="9" t="s">
        <x:v>313</x:v>
      </x:c>
      <x:c r="Y68" s="9" t="s">
        <x:v>314</x:v>
      </x:c>
      <x:c r="Z68" s="9" t="s">
        <x:v>6</x:v>
      </x:c>
      <x:c r="AA68" s="10"/>
      <x:c r="AB68" s="10"/>
      <x:c r="AC68" s="10"/>
      <x:c r="AD68" s="10"/>
      <x:c r="AE68" s="10"/>
      <x:c r="AF68" s="10"/>
      <x:c r="AG68" s="10"/>
      <x:c r="AH68" s="23" t="n">
        <x:f aca="0">IF(AND($Z68="CANCELLED",COUNTIFS('09_风险与决策'!$A$5:$A$100,$AG68,'09_风险与决策'!$B$5:$B$100,"Decision",'09_风险与决策'!$L$5:$L$100,"ACCEPTED")&gt;0),0,1)</x:f>
        <x:v>1</x:v>
      </x:c>
      <x:c r="AI68" s="10"/>
      <x:c r="AJ68" s="9" t="s">
        <x:v>843</x:v>
      </x:c>
    </x:row>
    <x:row r="69" ht="52" hidden="0" customHeight="1">
      <x:c r="A69" s="9" t="s">
        <x:v>844</x:v>
      </x:c>
      <x:c r="B69" s="9" t="s">
        <x:v>53</x:v>
      </x:c>
      <x:c r="C69" s="9" t="s">
        <x:v>53</x:v>
      </x:c>
      <x:c r="D69" s="9" t="s">
        <x:v>845</x:v>
      </x:c>
      <x:c r="E69" s="10" t="s">
        <x:v>846</x:v>
      </x:c>
      <x:c r="F69" s="9" t="s">
        <x:v>425</x:v>
      </x:c>
      <x:c r="G69" s="10" t="s">
        <x:v>184</x:v>
      </x:c>
      <x:c r="H69" s="10" t="s">
        <x:v>847</x:v>
      </x:c>
      <x:c r="I69" s="10" t="s">
        <x:v>846</x:v>
      </x:c>
      <x:c r="J69" s="10" t="s">
        <x:v>188</x:v>
      </x:c>
      <x:c r="K69" s="10" t="s">
        <x:v>848</x:v>
      </x:c>
      <x:c r="L69" s="9" t="s">
        <x:v>849</x:v>
      </x:c>
      <x:c r="M69" s="10" t="s">
        <x:v>846</x:v>
      </x:c>
      <x:c r="N69" s="9" t="s">
        <x:v>838</x:v>
      </x:c>
      <x:c r="O69" s="10" t="s">
        <x:v>850</x:v>
      </x:c>
      <x:c r="P69" s="10" t="s">
        <x:v>851</x:v>
      </x:c>
      <x:c r="Q69" s="10" t="s">
        <x:v>852</x:v>
      </x:c>
      <x:c r="R69" s="10"/>
      <x:c r="S69" s="9" t="s">
        <x:v>853</x:v>
      </x:c>
      <x:c r="T69" s="10" t="s">
        <x:v>854</x:v>
      </x:c>
      <x:c r="U69" s="10" t="s">
        <x:v>855</x:v>
      </x:c>
      <x:c r="V69" s="9" t="s">
        <x:v>311</x:v>
      </x:c>
      <x:c r="W69" s="9" t="s">
        <x:v>753</x:v>
      </x:c>
      <x:c r="X69" s="9" t="s">
        <x:v>313</x:v>
      </x:c>
      <x:c r="Y69" s="9" t="s">
        <x:v>314</x:v>
      </x:c>
      <x:c r="Z69" s="9" t="s">
        <x:v>6</x:v>
      </x:c>
      <x:c r="AA69" s="10"/>
      <x:c r="AB69" s="10"/>
      <x:c r="AC69" s="10"/>
      <x:c r="AD69" s="10"/>
      <x:c r="AE69" s="10"/>
      <x:c r="AF69" s="10"/>
      <x:c r="AG69" s="10"/>
      <x:c r="AH69" s="23" t="n">
        <x:f aca="0">IF(AND($Z69="CANCELLED",COUNTIFS('09_风险与决策'!$A$5:$A$100,$AG69,'09_风险与决策'!$B$5:$B$100,"Decision",'09_风险与决策'!$L$5:$L$100,"ACCEPTED")&gt;0),0,1)</x:f>
        <x:v>1</x:v>
      </x:c>
      <x:c r="AI69" s="10"/>
      <x:c r="AJ69" s="9" t="s">
        <x:v>856</x:v>
      </x:c>
    </x:row>
    <x:row r="70" ht="52" hidden="0" customHeight="1">
      <x:c r="A70" s="9" t="s">
        <x:v>857</x:v>
      </x:c>
      <x:c r="B70" s="9" t="s">
        <x:v>53</x:v>
      </x:c>
      <x:c r="C70" s="9" t="s">
        <x:v>53</x:v>
      </x:c>
      <x:c r="D70" s="9" t="s">
        <x:v>858</x:v>
      </x:c>
      <x:c r="E70" s="10" t="s">
        <x:v>859</x:v>
      </x:c>
      <x:c r="F70" s="9" t="s">
        <x:v>260</x:v>
      </x:c>
      <x:c r="G70" s="10" t="s">
        <x:v>184</x:v>
      </x:c>
      <x:c r="H70" s="10" t="s">
        <x:v>847</x:v>
      </x:c>
      <x:c r="I70" s="10" t="s">
        <x:v>859</x:v>
      </x:c>
      <x:c r="J70" s="10" t="s">
        <x:v>188</x:v>
      </x:c>
      <x:c r="K70" s="10" t="s">
        <x:v>848</x:v>
      </x:c>
      <x:c r="L70" s="9" t="s">
        <x:v>849</x:v>
      </x:c>
      <x:c r="M70" s="10" t="s">
        <x:v>859</x:v>
      </x:c>
      <x:c r="N70" s="9" t="s">
        <x:v>844</x:v>
      </x:c>
      <x:c r="O70" s="10" t="s">
        <x:v>860</x:v>
      </x:c>
      <x:c r="P70" s="10" t="s">
        <x:v>861</x:v>
      </x:c>
      <x:c r="Q70" s="10" t="s">
        <x:v>852</x:v>
      </x:c>
      <x:c r="R70" s="10"/>
      <x:c r="S70" s="9" t="s">
        <x:v>853</x:v>
      </x:c>
      <x:c r="T70" s="10" t="s">
        <x:v>854</x:v>
      </x:c>
      <x:c r="U70" s="10" t="s">
        <x:v>855</x:v>
      </x:c>
      <x:c r="V70" s="9" t="s">
        <x:v>311</x:v>
      </x:c>
      <x:c r="W70" s="9" t="s">
        <x:v>753</x:v>
      </x:c>
      <x:c r="X70" s="9" t="s">
        <x:v>452</x:v>
      </x:c>
      <x:c r="Y70" s="9" t="s">
        <x:v>381</x:v>
      </x:c>
      <x:c r="Z70" s="9" t="s">
        <x:v>6</x:v>
      </x:c>
      <x:c r="AA70" s="10"/>
      <x:c r="AB70" s="10"/>
      <x:c r="AC70" s="10"/>
      <x:c r="AD70" s="10"/>
      <x:c r="AE70" s="10"/>
      <x:c r="AF70" s="10"/>
      <x:c r="AG70" s="10"/>
      <x:c r="AH70" s="23" t="n">
        <x:f aca="0">IF(AND($Z70="CANCELLED",COUNTIFS('09_风险与决策'!$A$5:$A$100,$AG70,'09_风险与决策'!$B$5:$B$100,"Decision",'09_风险与决策'!$L$5:$L$100,"ACCEPTED")&gt;0),0,1)</x:f>
        <x:v>1</x:v>
      </x:c>
      <x:c r="AI70" s="10"/>
      <x:c r="AJ70" s="9" t="s">
        <x:v>862</x:v>
      </x:c>
    </x:row>
    <x:row r="71" ht="52" hidden="0" customHeight="1">
      <x:c r="A71" s="9" t="s">
        <x:v>863</x:v>
      </x:c>
      <x:c r="B71" s="9" t="s">
        <x:v>53</x:v>
      </x:c>
      <x:c r="C71" s="9" t="s">
        <x:v>53</x:v>
      </x:c>
      <x:c r="D71" s="9" t="s">
        <x:v>864</x:v>
      </x:c>
      <x:c r="E71" s="10" t="s">
        <x:v>865</x:v>
      </x:c>
      <x:c r="F71" s="9" t="s">
        <x:v>260</x:v>
      </x:c>
      <x:c r="G71" s="10" t="s">
        <x:v>184</x:v>
      </x:c>
      <x:c r="H71" s="10" t="s">
        <x:v>847</x:v>
      </x:c>
      <x:c r="I71" s="10" t="s">
        <x:v>865</x:v>
      </x:c>
      <x:c r="J71" s="10" t="s">
        <x:v>188</x:v>
      </x:c>
      <x:c r="K71" s="10" t="s">
        <x:v>848</x:v>
      </x:c>
      <x:c r="L71" s="9" t="s">
        <x:v>849</x:v>
      </x:c>
      <x:c r="M71" s="10" t="s">
        <x:v>865</x:v>
      </x:c>
      <x:c r="N71" s="9" t="s">
        <x:v>857</x:v>
      </x:c>
      <x:c r="O71" s="10" t="s">
        <x:v>866</x:v>
      </x:c>
      <x:c r="P71" s="10" t="s">
        <x:v>867</x:v>
      </x:c>
      <x:c r="Q71" s="10" t="s">
        <x:v>852</x:v>
      </x:c>
      <x:c r="R71" s="10"/>
      <x:c r="S71" s="9" t="s">
        <x:v>853</x:v>
      </x:c>
      <x:c r="T71" s="10" t="s">
        <x:v>854</x:v>
      </x:c>
      <x:c r="U71" s="10" t="s">
        <x:v>855</x:v>
      </x:c>
      <x:c r="V71" s="9" t="s">
        <x:v>311</x:v>
      </x:c>
      <x:c r="W71" s="9" t="s">
        <x:v>753</x:v>
      </x:c>
      <x:c r="X71" s="9" t="s">
        <x:v>452</x:v>
      </x:c>
      <x:c r="Y71" s="9" t="s">
        <x:v>381</x:v>
      </x:c>
      <x:c r="Z71" s="9" t="s">
        <x:v>6</x:v>
      </x:c>
      <x:c r="AA71" s="10"/>
      <x:c r="AB71" s="10"/>
      <x:c r="AC71" s="10"/>
      <x:c r="AD71" s="10"/>
      <x:c r="AE71" s="10"/>
      <x:c r="AF71" s="10"/>
      <x:c r="AG71" s="10"/>
      <x:c r="AH71" s="23" t="n">
        <x:f aca="0">IF(AND($Z71="CANCELLED",COUNTIFS('09_风险与决策'!$A$5:$A$100,$AG71,'09_风险与决策'!$B$5:$B$100,"Decision",'09_风险与决策'!$L$5:$L$100,"ACCEPTED")&gt;0),0,1)</x:f>
        <x:v>1</x:v>
      </x:c>
      <x:c r="AI71" s="10"/>
      <x:c r="AJ71" s="9" t="s">
        <x:v>862</x:v>
      </x:c>
    </x:row>
    <x:row r="72" ht="52" hidden="0" customHeight="1">
      <x:c r="A72" s="9" t="s">
        <x:v>868</x:v>
      </x:c>
      <x:c r="B72" s="9" t="s">
        <x:v>53</x:v>
      </x:c>
      <x:c r="C72" s="9" t="s">
        <x:v>53</x:v>
      </x:c>
      <x:c r="D72" s="9" t="s">
        <x:v>869</x:v>
      </x:c>
      <x:c r="E72" s="10" t="s">
        <x:v>870</x:v>
      </x:c>
      <x:c r="F72" s="9" t="s">
        <x:v>323</x:v>
      </x:c>
      <x:c r="G72" s="10" t="s">
        <x:v>184</x:v>
      </x:c>
      <x:c r="H72" s="10" t="s">
        <x:v>847</x:v>
      </x:c>
      <x:c r="I72" s="10" t="s">
        <x:v>870</x:v>
      </x:c>
      <x:c r="J72" s="10" t="s">
        <x:v>188</x:v>
      </x:c>
      <x:c r="K72" s="10" t="s">
        <x:v>848</x:v>
      </x:c>
      <x:c r="L72" s="9" t="s">
        <x:v>849</x:v>
      </x:c>
      <x:c r="M72" s="10" t="s">
        <x:v>870</x:v>
      </x:c>
      <x:c r="N72" s="9" t="s">
        <x:v>863</x:v>
      </x:c>
      <x:c r="O72" s="10" t="s">
        <x:v>871</x:v>
      </x:c>
      <x:c r="P72" s="10" t="s">
        <x:v>872</x:v>
      </x:c>
      <x:c r="Q72" s="10" t="s">
        <x:v>873</x:v>
      </x:c>
      <x:c r="R72" s="10"/>
      <x:c r="S72" s="9" t="s">
        <x:v>853</x:v>
      </x:c>
      <x:c r="T72" s="10" t="s">
        <x:v>854</x:v>
      </x:c>
      <x:c r="U72" s="10" t="s">
        <x:v>855</x:v>
      </x:c>
      <x:c r="V72" s="9" t="s">
        <x:v>311</x:v>
      </x:c>
      <x:c r="W72" s="9" t="s">
        <x:v>312</x:v>
      </x:c>
      <x:c r="X72" s="9" t="s">
        <x:v>313</x:v>
      </x:c>
      <x:c r="Y72" s="9" t="s">
        <x:v>381</x:v>
      </x:c>
      <x:c r="Z72" s="9" t="s">
        <x:v>6</x:v>
      </x:c>
      <x:c r="AA72" s="10"/>
      <x:c r="AB72" s="10"/>
      <x:c r="AC72" s="10"/>
      <x:c r="AD72" s="10"/>
      <x:c r="AE72" s="10"/>
      <x:c r="AF72" s="10"/>
      <x:c r="AG72" s="10"/>
      <x:c r="AH72" s="23" t="n">
        <x:f aca="0">IF(AND($Z72="CANCELLED",COUNTIFS('09_风险与决策'!$A$5:$A$100,$AG72,'09_风险与决策'!$B$5:$B$100,"Decision",'09_风险与决策'!$L$5:$L$100,"ACCEPTED")&gt;0),0,1)</x:f>
        <x:v>1</x:v>
      </x:c>
      <x:c r="AI72" s="10"/>
      <x:c r="AJ72" s="9" t="s">
        <x:v>874</x:v>
      </x:c>
    </x:row>
    <x:row r="73" ht="52" hidden="0" customHeight="1">
      <x:c r="A73" s="9" t="s">
        <x:v>875</x:v>
      </x:c>
      <x:c r="B73" s="9" t="s">
        <x:v>54</x:v>
      </x:c>
      <x:c r="C73" s="9" t="s">
        <x:v>54</x:v>
      </x:c>
      <x:c r="D73" s="9" t="s">
        <x:v>845</x:v>
      </x:c>
      <x:c r="E73" s="10" t="s">
        <x:v>876</x:v>
      </x:c>
      <x:c r="F73" s="9" t="s">
        <x:v>425</x:v>
      </x:c>
      <x:c r="G73" s="10" t="s">
        <x:v>196</x:v>
      </x:c>
      <x:c r="H73" s="10" t="s">
        <x:v>847</x:v>
      </x:c>
      <x:c r="I73" s="10" t="s">
        <x:v>876</x:v>
      </x:c>
      <x:c r="J73" s="10" t="s">
        <x:v>200</x:v>
      </x:c>
      <x:c r="K73" s="10" t="s">
        <x:v>848</x:v>
      </x:c>
      <x:c r="L73" s="9" t="s">
        <x:v>877</x:v>
      </x:c>
      <x:c r="M73" s="10" t="s">
        <x:v>876</x:v>
      </x:c>
      <x:c r="N73" s="9" t="s">
        <x:v>868</x:v>
      </x:c>
      <x:c r="O73" s="10" t="s">
        <x:v>850</x:v>
      </x:c>
      <x:c r="P73" s="10" t="s">
        <x:v>878</x:v>
      </x:c>
      <x:c r="Q73" s="10" t="s">
        <x:v>852</x:v>
      </x:c>
      <x:c r="R73" s="9" t="s">
        <x:v>879</x:v>
      </x:c>
      <x:c r="S73" s="9" t="s">
        <x:v>308</x:v>
      </x:c>
      <x:c r="T73" s="10" t="s">
        <x:v>880</x:v>
      </x:c>
      <x:c r="U73" s="10" t="s">
        <x:v>855</x:v>
      </x:c>
      <x:c r="V73" s="9" t="s">
        <x:v>311</x:v>
      </x:c>
      <x:c r="W73" s="9" t="s">
        <x:v>753</x:v>
      </x:c>
      <x:c r="X73" s="9" t="s">
        <x:v>313</x:v>
      </x:c>
      <x:c r="Y73" s="9" t="s">
        <x:v>314</x:v>
      </x:c>
      <x:c r="Z73" s="9" t="s">
        <x:v>6</x:v>
      </x:c>
      <x:c r="AA73" s="10"/>
      <x:c r="AB73" s="10"/>
      <x:c r="AC73" s="10"/>
      <x:c r="AD73" s="10"/>
      <x:c r="AE73" s="10"/>
      <x:c r="AF73" s="10"/>
      <x:c r="AG73" s="10"/>
      <x:c r="AH73" s="23" t="n">
        <x:f aca="0">IF(AND($Z73="CANCELLED",COUNTIFS('09_风险与决策'!$A$5:$A$100,$AG73,'09_风险与决策'!$B$5:$B$100,"Decision",'09_风险与决策'!$L$5:$L$100,"ACCEPTED")&gt;0),0,1)</x:f>
        <x:v>1</x:v>
      </x:c>
      <x:c r="AI73" s="10"/>
      <x:c r="AJ73" s="9" t="s">
        <x:v>881</x:v>
      </x:c>
    </x:row>
    <x:row r="74" ht="52" hidden="0" customHeight="1">
      <x:c r="A74" s="9" t="s">
        <x:v>882</x:v>
      </x:c>
      <x:c r="B74" s="9" t="s">
        <x:v>54</x:v>
      </x:c>
      <x:c r="C74" s="9" t="s">
        <x:v>54</x:v>
      </x:c>
      <x:c r="D74" s="9" t="s">
        <x:v>858</x:v>
      </x:c>
      <x:c r="E74" s="10" t="s">
        <x:v>883</x:v>
      </x:c>
      <x:c r="F74" s="9" t="s">
        <x:v>260</x:v>
      </x:c>
      <x:c r="G74" s="10" t="s">
        <x:v>196</x:v>
      </x:c>
      <x:c r="H74" s="10" t="s">
        <x:v>847</x:v>
      </x:c>
      <x:c r="I74" s="10" t="s">
        <x:v>883</x:v>
      </x:c>
      <x:c r="J74" s="10" t="s">
        <x:v>200</x:v>
      </x:c>
      <x:c r="K74" s="10" t="s">
        <x:v>848</x:v>
      </x:c>
      <x:c r="L74" s="9" t="s">
        <x:v>877</x:v>
      </x:c>
      <x:c r="M74" s="10" t="s">
        <x:v>883</x:v>
      </x:c>
      <x:c r="N74" s="9" t="s">
        <x:v>875</x:v>
      </x:c>
      <x:c r="O74" s="10" t="s">
        <x:v>860</x:v>
      </x:c>
      <x:c r="P74" s="10" t="s">
        <x:v>884</x:v>
      </x:c>
      <x:c r="Q74" s="10" t="s">
        <x:v>852</x:v>
      </x:c>
      <x:c r="R74" s="10"/>
      <x:c r="S74" s="9" t="s">
        <x:v>853</x:v>
      </x:c>
      <x:c r="T74" s="10" t="s">
        <x:v>880</x:v>
      </x:c>
      <x:c r="U74" s="10" t="s">
        <x:v>855</x:v>
      </x:c>
      <x:c r="V74" s="9" t="s">
        <x:v>311</x:v>
      </x:c>
      <x:c r="W74" s="9" t="s">
        <x:v>753</x:v>
      </x:c>
      <x:c r="X74" s="9" t="s">
        <x:v>452</x:v>
      </x:c>
      <x:c r="Y74" s="9" t="s">
        <x:v>381</x:v>
      </x:c>
      <x:c r="Z74" s="9" t="s">
        <x:v>6</x:v>
      </x:c>
      <x:c r="AA74" s="10"/>
      <x:c r="AB74" s="10"/>
      <x:c r="AC74" s="10"/>
      <x:c r="AD74" s="10"/>
      <x:c r="AE74" s="10"/>
      <x:c r="AF74" s="10"/>
      <x:c r="AG74" s="10"/>
      <x:c r="AH74" s="23" t="n">
        <x:f aca="0">IF(AND($Z74="CANCELLED",COUNTIFS('09_风险与决策'!$A$5:$A$100,$AG74,'09_风险与决策'!$B$5:$B$100,"Decision",'09_风险与决策'!$L$5:$L$100,"ACCEPTED")&gt;0),0,1)</x:f>
        <x:v>1</x:v>
      </x:c>
      <x:c r="AI74" s="10"/>
      <x:c r="AJ74" s="9" t="s">
        <x:v>885</x:v>
      </x:c>
    </x:row>
    <x:row r="75" ht="52" hidden="0" customHeight="1">
      <x:c r="A75" s="9" t="s">
        <x:v>886</x:v>
      </x:c>
      <x:c r="B75" s="9" t="s">
        <x:v>54</x:v>
      </x:c>
      <x:c r="C75" s="9" t="s">
        <x:v>54</x:v>
      </x:c>
      <x:c r="D75" s="9" t="s">
        <x:v>864</x:v>
      </x:c>
      <x:c r="E75" s="10" t="s">
        <x:v>887</x:v>
      </x:c>
      <x:c r="F75" s="9" t="s">
        <x:v>260</x:v>
      </x:c>
      <x:c r="G75" s="10" t="s">
        <x:v>196</x:v>
      </x:c>
      <x:c r="H75" s="10" t="s">
        <x:v>847</x:v>
      </x:c>
      <x:c r="I75" s="10" t="s">
        <x:v>887</x:v>
      </x:c>
      <x:c r="J75" s="10" t="s">
        <x:v>200</x:v>
      </x:c>
      <x:c r="K75" s="10" t="s">
        <x:v>848</x:v>
      </x:c>
      <x:c r="L75" s="9" t="s">
        <x:v>877</x:v>
      </x:c>
      <x:c r="M75" s="10" t="s">
        <x:v>887</x:v>
      </x:c>
      <x:c r="N75" s="9" t="s">
        <x:v>882</x:v>
      </x:c>
      <x:c r="O75" s="10" t="s">
        <x:v>866</x:v>
      </x:c>
      <x:c r="P75" s="10" t="s">
        <x:v>888</x:v>
      </x:c>
      <x:c r="Q75" s="10" t="s">
        <x:v>852</x:v>
      </x:c>
      <x:c r="R75" s="9" t="s">
        <x:v>879</x:v>
      </x:c>
      <x:c r="S75" s="9" t="s">
        <x:v>308</x:v>
      </x:c>
      <x:c r="T75" s="10" t="s">
        <x:v>880</x:v>
      </x:c>
      <x:c r="U75" s="10" t="s">
        <x:v>855</x:v>
      </x:c>
      <x:c r="V75" s="9" t="s">
        <x:v>311</x:v>
      </x:c>
      <x:c r="W75" s="9" t="s">
        <x:v>753</x:v>
      </x:c>
      <x:c r="X75" s="9" t="s">
        <x:v>452</x:v>
      </x:c>
      <x:c r="Y75" s="9" t="s">
        <x:v>381</x:v>
      </x:c>
      <x:c r="Z75" s="9" t="s">
        <x:v>6</x:v>
      </x:c>
      <x:c r="AA75" s="10"/>
      <x:c r="AB75" s="10"/>
      <x:c r="AC75" s="10"/>
      <x:c r="AD75" s="10"/>
      <x:c r="AE75" s="10"/>
      <x:c r="AF75" s="10"/>
      <x:c r="AG75" s="10"/>
      <x:c r="AH75" s="23" t="n">
        <x:f aca="0">IF(AND($Z75="CANCELLED",COUNTIFS('09_风险与决策'!$A$5:$A$100,$AG75,'09_风险与决策'!$B$5:$B$100,"Decision",'09_风险与决策'!$L$5:$L$100,"ACCEPTED")&gt;0),0,1)</x:f>
        <x:v>1</x:v>
      </x:c>
      <x:c r="AI75" s="10"/>
      <x:c r="AJ75" s="9" t="s">
        <x:v>885</x:v>
      </x:c>
    </x:row>
    <x:row r="76" ht="52" hidden="0" customHeight="1">
      <x:c r="A76" s="9" t="s">
        <x:v>889</x:v>
      </x:c>
      <x:c r="B76" s="9" t="s">
        <x:v>54</x:v>
      </x:c>
      <x:c r="C76" s="9" t="s">
        <x:v>54</x:v>
      </x:c>
      <x:c r="D76" s="9" t="s">
        <x:v>869</x:v>
      </x:c>
      <x:c r="E76" s="10" t="s">
        <x:v>890</x:v>
      </x:c>
      <x:c r="F76" s="9" t="s">
        <x:v>323</x:v>
      </x:c>
      <x:c r="G76" s="10" t="s">
        <x:v>196</x:v>
      </x:c>
      <x:c r="H76" s="10" t="s">
        <x:v>847</x:v>
      </x:c>
      <x:c r="I76" s="10" t="s">
        <x:v>890</x:v>
      </x:c>
      <x:c r="J76" s="10" t="s">
        <x:v>200</x:v>
      </x:c>
      <x:c r="K76" s="10" t="s">
        <x:v>848</x:v>
      </x:c>
      <x:c r="L76" s="9" t="s">
        <x:v>877</x:v>
      </x:c>
      <x:c r="M76" s="10" t="s">
        <x:v>890</x:v>
      </x:c>
      <x:c r="N76" s="9" t="s">
        <x:v>886</x:v>
      </x:c>
      <x:c r="O76" s="10" t="s">
        <x:v>871</x:v>
      </x:c>
      <x:c r="P76" s="10" t="s">
        <x:v>891</x:v>
      </x:c>
      <x:c r="Q76" s="10" t="s">
        <x:v>873</x:v>
      </x:c>
      <x:c r="R76" s="10"/>
      <x:c r="S76" s="9" t="s">
        <x:v>853</x:v>
      </x:c>
      <x:c r="T76" s="10" t="s">
        <x:v>880</x:v>
      </x:c>
      <x:c r="U76" s="10" t="s">
        <x:v>855</x:v>
      </x:c>
      <x:c r="V76" s="9" t="s">
        <x:v>311</x:v>
      </x:c>
      <x:c r="W76" s="9" t="s">
        <x:v>312</x:v>
      </x:c>
      <x:c r="X76" s="9" t="s">
        <x:v>313</x:v>
      </x:c>
      <x:c r="Y76" s="9" t="s">
        <x:v>381</x:v>
      </x:c>
      <x:c r="Z76" s="9" t="s">
        <x:v>6</x:v>
      </x:c>
      <x:c r="AA76" s="10"/>
      <x:c r="AB76" s="10"/>
      <x:c r="AC76" s="10"/>
      <x:c r="AD76" s="10"/>
      <x:c r="AE76" s="10"/>
      <x:c r="AF76" s="10"/>
      <x:c r="AG76" s="10"/>
      <x:c r="AH76" s="23" t="n">
        <x:f aca="0">IF(AND($Z76="CANCELLED",COUNTIFS('09_风险与决策'!$A$5:$A$100,$AG76,'09_风险与决策'!$B$5:$B$100,"Decision",'09_风险与决策'!$L$5:$L$100,"ACCEPTED")&gt;0),0,1)</x:f>
        <x:v>1</x:v>
      </x:c>
      <x:c r="AI76" s="10"/>
      <x:c r="AJ76" s="9" t="s">
        <x:v>892</x:v>
      </x:c>
    </x:row>
    <x:row r="77" ht="52" hidden="0" customHeight="1">
      <x:c r="A77" s="9" t="s">
        <x:v>893</x:v>
      </x:c>
      <x:c r="B77" s="9" t="s">
        <x:v>55</x:v>
      </x:c>
      <x:c r="C77" s="9" t="s">
        <x:v>55</x:v>
      </x:c>
      <x:c r="D77" s="9" t="s">
        <x:v>845</x:v>
      </x:c>
      <x:c r="E77" s="10" t="s">
        <x:v>894</x:v>
      </x:c>
      <x:c r="F77" s="9" t="s">
        <x:v>425</x:v>
      </x:c>
      <x:c r="G77" s="10" t="s">
        <x:v>208</x:v>
      </x:c>
      <x:c r="H77" s="10" t="s">
        <x:v>847</x:v>
      </x:c>
      <x:c r="I77" s="10" t="s">
        <x:v>894</x:v>
      </x:c>
      <x:c r="J77" s="10" t="s">
        <x:v>212</x:v>
      </x:c>
      <x:c r="K77" s="10" t="s">
        <x:v>848</x:v>
      </x:c>
      <x:c r="L77" s="9" t="s">
        <x:v>895</x:v>
      </x:c>
      <x:c r="M77" s="10" t="s">
        <x:v>894</x:v>
      </x:c>
      <x:c r="N77" s="9" t="s">
        <x:v>889</x:v>
      </x:c>
      <x:c r="O77" s="10" t="s">
        <x:v>850</x:v>
      </x:c>
      <x:c r="P77" s="10" t="s">
        <x:v>896</x:v>
      </x:c>
      <x:c r="Q77" s="10" t="s">
        <x:v>852</x:v>
      </x:c>
      <x:c r="R77" s="10"/>
      <x:c r="S77" s="9" t="s">
        <x:v>853</x:v>
      </x:c>
      <x:c r="T77" s="10" t="s">
        <x:v>897</x:v>
      </x:c>
      <x:c r="U77" s="10" t="s">
        <x:v>855</x:v>
      </x:c>
      <x:c r="V77" s="9" t="s">
        <x:v>311</x:v>
      </x:c>
      <x:c r="W77" s="9" t="s">
        <x:v>753</x:v>
      </x:c>
      <x:c r="X77" s="9" t="s">
        <x:v>313</x:v>
      </x:c>
      <x:c r="Y77" s="9" t="s">
        <x:v>314</x:v>
      </x:c>
      <x:c r="Z77" s="9" t="s">
        <x:v>6</x:v>
      </x:c>
      <x:c r="AA77" s="10"/>
      <x:c r="AB77" s="10"/>
      <x:c r="AC77" s="10"/>
      <x:c r="AD77" s="10"/>
      <x:c r="AE77" s="10"/>
      <x:c r="AF77" s="10"/>
      <x:c r="AG77" s="10"/>
      <x:c r="AH77" s="23" t="n">
        <x:f aca="0">IF(AND($Z77="CANCELLED",COUNTIFS('09_风险与决策'!$A$5:$A$100,$AG77,'09_风险与决策'!$B$5:$B$100,"Decision",'09_风险与决策'!$L$5:$L$100,"ACCEPTED")&gt;0),0,1)</x:f>
        <x:v>1</x:v>
      </x:c>
      <x:c r="AI77" s="10"/>
      <x:c r="AJ77" s="9" t="s">
        <x:v>898</x:v>
      </x:c>
    </x:row>
    <x:row r="78" ht="52" hidden="0" customHeight="1">
      <x:c r="A78" s="9" t="s">
        <x:v>899</x:v>
      </x:c>
      <x:c r="B78" s="9" t="s">
        <x:v>55</x:v>
      </x:c>
      <x:c r="C78" s="9" t="s">
        <x:v>55</x:v>
      </x:c>
      <x:c r="D78" s="9" t="s">
        <x:v>858</x:v>
      </x:c>
      <x:c r="E78" s="10" t="s">
        <x:v>900</x:v>
      </x:c>
      <x:c r="F78" s="9" t="s">
        <x:v>260</x:v>
      </x:c>
      <x:c r="G78" s="10" t="s">
        <x:v>208</x:v>
      </x:c>
      <x:c r="H78" s="10" t="s">
        <x:v>847</x:v>
      </x:c>
      <x:c r="I78" s="10" t="s">
        <x:v>900</x:v>
      </x:c>
      <x:c r="J78" s="10" t="s">
        <x:v>212</x:v>
      </x:c>
      <x:c r="K78" s="10" t="s">
        <x:v>848</x:v>
      </x:c>
      <x:c r="L78" s="9" t="s">
        <x:v>895</x:v>
      </x:c>
      <x:c r="M78" s="10" t="s">
        <x:v>900</x:v>
      </x:c>
      <x:c r="N78" s="9" t="s">
        <x:v>893</x:v>
      </x:c>
      <x:c r="O78" s="10" t="s">
        <x:v>860</x:v>
      </x:c>
      <x:c r="P78" s="10" t="s">
        <x:v>901</x:v>
      </x:c>
      <x:c r="Q78" s="10" t="s">
        <x:v>852</x:v>
      </x:c>
      <x:c r="R78" s="10"/>
      <x:c r="S78" s="9" t="s">
        <x:v>853</x:v>
      </x:c>
      <x:c r="T78" s="10" t="s">
        <x:v>897</x:v>
      </x:c>
      <x:c r="U78" s="10" t="s">
        <x:v>855</x:v>
      </x:c>
      <x:c r="V78" s="9" t="s">
        <x:v>311</x:v>
      </x:c>
      <x:c r="W78" s="9" t="s">
        <x:v>753</x:v>
      </x:c>
      <x:c r="X78" s="9" t="s">
        <x:v>452</x:v>
      </x:c>
      <x:c r="Y78" s="9" t="s">
        <x:v>381</x:v>
      </x:c>
      <x:c r="Z78" s="9" t="s">
        <x:v>6</x:v>
      </x:c>
      <x:c r="AA78" s="10"/>
      <x:c r="AB78" s="10"/>
      <x:c r="AC78" s="10"/>
      <x:c r="AD78" s="10"/>
      <x:c r="AE78" s="10"/>
      <x:c r="AF78" s="10"/>
      <x:c r="AG78" s="10"/>
      <x:c r="AH78" s="23" t="n">
        <x:f aca="0">IF(AND($Z78="CANCELLED",COUNTIFS('09_风险与决策'!$A$5:$A$100,$AG78,'09_风险与决策'!$B$5:$B$100,"Decision",'09_风险与决策'!$L$5:$L$100,"ACCEPTED")&gt;0),0,1)</x:f>
        <x:v>1</x:v>
      </x:c>
      <x:c r="AI78" s="10"/>
      <x:c r="AJ78" s="9" t="s">
        <x:v>902</x:v>
      </x:c>
    </x:row>
    <x:row r="79" ht="52" hidden="0" customHeight="1">
      <x:c r="A79" s="9" t="s">
        <x:v>903</x:v>
      </x:c>
      <x:c r="B79" s="9" t="s">
        <x:v>55</x:v>
      </x:c>
      <x:c r="C79" s="9" t="s">
        <x:v>55</x:v>
      </x:c>
      <x:c r="D79" s="9" t="s">
        <x:v>864</x:v>
      </x:c>
      <x:c r="E79" s="10" t="s">
        <x:v>904</x:v>
      </x:c>
      <x:c r="F79" s="9" t="s">
        <x:v>260</x:v>
      </x:c>
      <x:c r="G79" s="10" t="s">
        <x:v>208</x:v>
      </x:c>
      <x:c r="H79" s="10" t="s">
        <x:v>847</x:v>
      </x:c>
      <x:c r="I79" s="10" t="s">
        <x:v>904</x:v>
      </x:c>
      <x:c r="J79" s="10" t="s">
        <x:v>212</x:v>
      </x:c>
      <x:c r="K79" s="10" t="s">
        <x:v>848</x:v>
      </x:c>
      <x:c r="L79" s="9" t="s">
        <x:v>895</x:v>
      </x:c>
      <x:c r="M79" s="10" t="s">
        <x:v>904</x:v>
      </x:c>
      <x:c r="N79" s="9" t="s">
        <x:v>899</x:v>
      </x:c>
      <x:c r="O79" s="10" t="s">
        <x:v>866</x:v>
      </x:c>
      <x:c r="P79" s="10" t="s">
        <x:v>905</x:v>
      </x:c>
      <x:c r="Q79" s="10" t="s">
        <x:v>852</x:v>
      </x:c>
      <x:c r="R79" s="10"/>
      <x:c r="S79" s="9" t="s">
        <x:v>853</x:v>
      </x:c>
      <x:c r="T79" s="10" t="s">
        <x:v>897</x:v>
      </x:c>
      <x:c r="U79" s="10" t="s">
        <x:v>855</x:v>
      </x:c>
      <x:c r="V79" s="9" t="s">
        <x:v>311</x:v>
      </x:c>
      <x:c r="W79" s="9" t="s">
        <x:v>753</x:v>
      </x:c>
      <x:c r="X79" s="9" t="s">
        <x:v>452</x:v>
      </x:c>
      <x:c r="Y79" s="9" t="s">
        <x:v>381</x:v>
      </x:c>
      <x:c r="Z79" s="9" t="s">
        <x:v>6</x:v>
      </x:c>
      <x:c r="AA79" s="10"/>
      <x:c r="AB79" s="10"/>
      <x:c r="AC79" s="10"/>
      <x:c r="AD79" s="10"/>
      <x:c r="AE79" s="10"/>
      <x:c r="AF79" s="10"/>
      <x:c r="AG79" s="10"/>
      <x:c r="AH79" s="23" t="n">
        <x:f aca="0">IF(AND($Z79="CANCELLED",COUNTIFS('09_风险与决策'!$A$5:$A$100,$AG79,'09_风险与决策'!$B$5:$B$100,"Decision",'09_风险与决策'!$L$5:$L$100,"ACCEPTED")&gt;0),0,1)</x:f>
        <x:v>1</x:v>
      </x:c>
      <x:c r="AI79" s="10"/>
      <x:c r="AJ79" s="9" t="s">
        <x:v>902</x:v>
      </x:c>
    </x:row>
    <x:row r="80" ht="52" hidden="0" customHeight="1">
      <x:c r="A80" s="9" t="s">
        <x:v>906</x:v>
      </x:c>
      <x:c r="B80" s="9" t="s">
        <x:v>55</x:v>
      </x:c>
      <x:c r="C80" s="9" t="s">
        <x:v>55</x:v>
      </x:c>
      <x:c r="D80" s="9" t="s">
        <x:v>869</x:v>
      </x:c>
      <x:c r="E80" s="10" t="s">
        <x:v>907</x:v>
      </x:c>
      <x:c r="F80" s="9" t="s">
        <x:v>323</x:v>
      </x:c>
      <x:c r="G80" s="10" t="s">
        <x:v>208</x:v>
      </x:c>
      <x:c r="H80" s="10" t="s">
        <x:v>847</x:v>
      </x:c>
      <x:c r="I80" s="10" t="s">
        <x:v>907</x:v>
      </x:c>
      <x:c r="J80" s="10" t="s">
        <x:v>212</x:v>
      </x:c>
      <x:c r="K80" s="10" t="s">
        <x:v>848</x:v>
      </x:c>
      <x:c r="L80" s="9" t="s">
        <x:v>895</x:v>
      </x:c>
      <x:c r="M80" s="10" t="s">
        <x:v>907</x:v>
      </x:c>
      <x:c r="N80" s="9" t="s">
        <x:v>903</x:v>
      </x:c>
      <x:c r="O80" s="10" t="s">
        <x:v>871</x:v>
      </x:c>
      <x:c r="P80" s="10" t="s">
        <x:v>908</x:v>
      </x:c>
      <x:c r="Q80" s="10" t="s">
        <x:v>873</x:v>
      </x:c>
      <x:c r="R80" s="10"/>
      <x:c r="S80" s="9" t="s">
        <x:v>853</x:v>
      </x:c>
      <x:c r="T80" s="10" t="s">
        <x:v>897</x:v>
      </x:c>
      <x:c r="U80" s="10" t="s">
        <x:v>855</x:v>
      </x:c>
      <x:c r="V80" s="9" t="s">
        <x:v>311</x:v>
      </x:c>
      <x:c r="W80" s="9" t="s">
        <x:v>312</x:v>
      </x:c>
      <x:c r="X80" s="9" t="s">
        <x:v>313</x:v>
      </x:c>
      <x:c r="Y80" s="9" t="s">
        <x:v>381</x:v>
      </x:c>
      <x:c r="Z80" s="9" t="s">
        <x:v>6</x:v>
      </x:c>
      <x:c r="AA80" s="10"/>
      <x:c r="AB80" s="10"/>
      <x:c r="AC80" s="10"/>
      <x:c r="AD80" s="10"/>
      <x:c r="AE80" s="10"/>
      <x:c r="AF80" s="10"/>
      <x:c r="AG80" s="10"/>
      <x:c r="AH80" s="23" t="n">
        <x:f aca="0">IF(AND($Z80="CANCELLED",COUNTIFS('09_风险与决策'!$A$5:$A$100,$AG80,'09_风险与决策'!$B$5:$B$100,"Decision",'09_风险与决策'!$L$5:$L$100,"ACCEPTED")&gt;0),0,1)</x:f>
        <x:v>1</x:v>
      </x:c>
      <x:c r="AI80" s="10"/>
      <x:c r="AJ80" s="9" t="s">
        <x:v>909</x:v>
      </x:c>
    </x:row>
    <x:row r="81" ht="52" hidden="0" customHeight="1">
      <x:c r="A81" s="9" t="s">
        <x:v>910</x:v>
      </x:c>
      <x:c r="B81" s="9" t="s">
        <x:v>56</x:v>
      </x:c>
      <x:c r="C81" s="9" t="s">
        <x:v>56</x:v>
      </x:c>
      <x:c r="D81" s="9" t="s">
        <x:v>845</x:v>
      </x:c>
      <x:c r="E81" s="10" t="s">
        <x:v>911</x:v>
      </x:c>
      <x:c r="F81" s="9" t="s">
        <x:v>425</x:v>
      </x:c>
      <x:c r="G81" s="10" t="s">
        <x:v>220</x:v>
      </x:c>
      <x:c r="H81" s="10" t="s">
        <x:v>847</x:v>
      </x:c>
      <x:c r="I81" s="10" t="s">
        <x:v>911</x:v>
      </x:c>
      <x:c r="J81" s="10" t="s">
        <x:v>224</x:v>
      </x:c>
      <x:c r="K81" s="10" t="s">
        <x:v>848</x:v>
      </x:c>
      <x:c r="L81" s="9" t="s">
        <x:v>912</x:v>
      </x:c>
      <x:c r="M81" s="10" t="s">
        <x:v>911</x:v>
      </x:c>
      <x:c r="N81" s="9" t="s">
        <x:v>906</x:v>
      </x:c>
      <x:c r="O81" s="10" t="s">
        <x:v>850</x:v>
      </x:c>
      <x:c r="P81" s="10" t="s">
        <x:v>913</x:v>
      </x:c>
      <x:c r="Q81" s="10" t="s">
        <x:v>852</x:v>
      </x:c>
      <x:c r="R81" s="10"/>
      <x:c r="S81" s="9" t="s">
        <x:v>853</x:v>
      </x:c>
      <x:c r="T81" s="10" t="s">
        <x:v>914</x:v>
      </x:c>
      <x:c r="U81" s="10" t="s">
        <x:v>855</x:v>
      </x:c>
      <x:c r="V81" s="9" t="s">
        <x:v>311</x:v>
      </x:c>
      <x:c r="W81" s="9" t="s">
        <x:v>753</x:v>
      </x:c>
      <x:c r="X81" s="9" t="s">
        <x:v>313</x:v>
      </x:c>
      <x:c r="Y81" s="9" t="s">
        <x:v>314</x:v>
      </x:c>
      <x:c r="Z81" s="9" t="s">
        <x:v>6</x:v>
      </x:c>
      <x:c r="AA81" s="10"/>
      <x:c r="AB81" s="10"/>
      <x:c r="AC81" s="10"/>
      <x:c r="AD81" s="10"/>
      <x:c r="AE81" s="10"/>
      <x:c r="AF81" s="10"/>
      <x:c r="AG81" s="10"/>
      <x:c r="AH81" s="23" t="n">
        <x:f aca="0">IF(AND($Z81="CANCELLED",COUNTIFS('09_风险与决策'!$A$5:$A$100,$AG81,'09_风险与决策'!$B$5:$B$100,"Decision",'09_风险与决策'!$L$5:$L$100,"ACCEPTED")&gt;0),0,1)</x:f>
        <x:v>1</x:v>
      </x:c>
      <x:c r="AI81" s="10"/>
      <x:c r="AJ81" s="9" t="s">
        <x:v>915</x:v>
      </x:c>
    </x:row>
    <x:row r="82" ht="52" hidden="0" customHeight="1">
      <x:c r="A82" s="9" t="s">
        <x:v>916</x:v>
      </x:c>
      <x:c r="B82" s="9" t="s">
        <x:v>56</x:v>
      </x:c>
      <x:c r="C82" s="9" t="s">
        <x:v>56</x:v>
      </x:c>
      <x:c r="D82" s="9" t="s">
        <x:v>858</x:v>
      </x:c>
      <x:c r="E82" s="10" t="s">
        <x:v>917</x:v>
      </x:c>
      <x:c r="F82" s="9" t="s">
        <x:v>260</x:v>
      </x:c>
      <x:c r="G82" s="10" t="s">
        <x:v>220</x:v>
      </x:c>
      <x:c r="H82" s="10" t="s">
        <x:v>847</x:v>
      </x:c>
      <x:c r="I82" s="10" t="s">
        <x:v>917</x:v>
      </x:c>
      <x:c r="J82" s="10" t="s">
        <x:v>224</x:v>
      </x:c>
      <x:c r="K82" s="10" t="s">
        <x:v>848</x:v>
      </x:c>
      <x:c r="L82" s="9" t="s">
        <x:v>912</x:v>
      </x:c>
      <x:c r="M82" s="10" t="s">
        <x:v>917</x:v>
      </x:c>
      <x:c r="N82" s="9" t="s">
        <x:v>910</x:v>
      </x:c>
      <x:c r="O82" s="10" t="s">
        <x:v>860</x:v>
      </x:c>
      <x:c r="P82" s="10" t="s">
        <x:v>918</x:v>
      </x:c>
      <x:c r="Q82" s="10" t="s">
        <x:v>852</x:v>
      </x:c>
      <x:c r="R82" s="10"/>
      <x:c r="S82" s="9" t="s">
        <x:v>853</x:v>
      </x:c>
      <x:c r="T82" s="10" t="s">
        <x:v>914</x:v>
      </x:c>
      <x:c r="U82" s="10" t="s">
        <x:v>855</x:v>
      </x:c>
      <x:c r="V82" s="9" t="s">
        <x:v>311</x:v>
      </x:c>
      <x:c r="W82" s="9" t="s">
        <x:v>753</x:v>
      </x:c>
      <x:c r="X82" s="9" t="s">
        <x:v>452</x:v>
      </x:c>
      <x:c r="Y82" s="9" t="s">
        <x:v>381</x:v>
      </x:c>
      <x:c r="Z82" s="9" t="s">
        <x:v>6</x:v>
      </x:c>
      <x:c r="AA82" s="10"/>
      <x:c r="AB82" s="10"/>
      <x:c r="AC82" s="10"/>
      <x:c r="AD82" s="10"/>
      <x:c r="AE82" s="10"/>
      <x:c r="AF82" s="10"/>
      <x:c r="AG82" s="10"/>
      <x:c r="AH82" s="23" t="n">
        <x:f aca="0">IF(AND($Z82="CANCELLED",COUNTIFS('09_风险与决策'!$A$5:$A$100,$AG82,'09_风险与决策'!$B$5:$B$100,"Decision",'09_风险与决策'!$L$5:$L$100,"ACCEPTED")&gt;0),0,1)</x:f>
        <x:v>1</x:v>
      </x:c>
      <x:c r="AI82" s="10"/>
      <x:c r="AJ82" s="9" t="s">
        <x:v>919</x:v>
      </x:c>
    </x:row>
    <x:row r="83" ht="52" hidden="0" customHeight="1">
      <x:c r="A83" s="9" t="s">
        <x:v>920</x:v>
      </x:c>
      <x:c r="B83" s="9" t="s">
        <x:v>56</x:v>
      </x:c>
      <x:c r="C83" s="9" t="s">
        <x:v>56</x:v>
      </x:c>
      <x:c r="D83" s="9" t="s">
        <x:v>864</x:v>
      </x:c>
      <x:c r="E83" s="10" t="s">
        <x:v>921</x:v>
      </x:c>
      <x:c r="F83" s="9" t="s">
        <x:v>260</x:v>
      </x:c>
      <x:c r="G83" s="10" t="s">
        <x:v>220</x:v>
      </x:c>
      <x:c r="H83" s="10" t="s">
        <x:v>847</x:v>
      </x:c>
      <x:c r="I83" s="10" t="s">
        <x:v>921</x:v>
      </x:c>
      <x:c r="J83" s="10" t="s">
        <x:v>224</x:v>
      </x:c>
      <x:c r="K83" s="10" t="s">
        <x:v>848</x:v>
      </x:c>
      <x:c r="L83" s="9" t="s">
        <x:v>912</x:v>
      </x:c>
      <x:c r="M83" s="10" t="s">
        <x:v>921</x:v>
      </x:c>
      <x:c r="N83" s="9" t="s">
        <x:v>916</x:v>
      </x:c>
      <x:c r="O83" s="10" t="s">
        <x:v>866</x:v>
      </x:c>
      <x:c r="P83" s="10" t="s">
        <x:v>922</x:v>
      </x:c>
      <x:c r="Q83" s="10" t="s">
        <x:v>852</x:v>
      </x:c>
      <x:c r="R83" s="10"/>
      <x:c r="S83" s="9" t="s">
        <x:v>853</x:v>
      </x:c>
      <x:c r="T83" s="10" t="s">
        <x:v>914</x:v>
      </x:c>
      <x:c r="U83" s="10" t="s">
        <x:v>855</x:v>
      </x:c>
      <x:c r="V83" s="9" t="s">
        <x:v>311</x:v>
      </x:c>
      <x:c r="W83" s="9" t="s">
        <x:v>753</x:v>
      </x:c>
      <x:c r="X83" s="9" t="s">
        <x:v>452</x:v>
      </x:c>
      <x:c r="Y83" s="9" t="s">
        <x:v>381</x:v>
      </x:c>
      <x:c r="Z83" s="9" t="s">
        <x:v>6</x:v>
      </x:c>
      <x:c r="AA83" s="10"/>
      <x:c r="AB83" s="10"/>
      <x:c r="AC83" s="10"/>
      <x:c r="AD83" s="10"/>
      <x:c r="AE83" s="10"/>
      <x:c r="AF83" s="10"/>
      <x:c r="AG83" s="10"/>
      <x:c r="AH83" s="23" t="n">
        <x:f aca="0">IF(AND($Z83="CANCELLED",COUNTIFS('09_风险与决策'!$A$5:$A$100,$AG83,'09_风险与决策'!$B$5:$B$100,"Decision",'09_风险与决策'!$L$5:$L$100,"ACCEPTED")&gt;0),0,1)</x:f>
        <x:v>1</x:v>
      </x:c>
      <x:c r="AI83" s="10"/>
      <x:c r="AJ83" s="9" t="s">
        <x:v>919</x:v>
      </x:c>
    </x:row>
    <x:row r="84" ht="52" hidden="0" customHeight="1">
      <x:c r="A84" s="9" t="s">
        <x:v>923</x:v>
      </x:c>
      <x:c r="B84" s="9" t="s">
        <x:v>56</x:v>
      </x:c>
      <x:c r="C84" s="9" t="s">
        <x:v>56</x:v>
      </x:c>
      <x:c r="D84" s="9" t="s">
        <x:v>869</x:v>
      </x:c>
      <x:c r="E84" s="10" t="s">
        <x:v>924</x:v>
      </x:c>
      <x:c r="F84" s="9" t="s">
        <x:v>323</x:v>
      </x:c>
      <x:c r="G84" s="10" t="s">
        <x:v>220</x:v>
      </x:c>
      <x:c r="H84" s="10" t="s">
        <x:v>847</x:v>
      </x:c>
      <x:c r="I84" s="10" t="s">
        <x:v>924</x:v>
      </x:c>
      <x:c r="J84" s="10" t="s">
        <x:v>224</x:v>
      </x:c>
      <x:c r="K84" s="10" t="s">
        <x:v>848</x:v>
      </x:c>
      <x:c r="L84" s="9" t="s">
        <x:v>912</x:v>
      </x:c>
      <x:c r="M84" s="10" t="s">
        <x:v>924</x:v>
      </x:c>
      <x:c r="N84" s="9" t="s">
        <x:v>920</x:v>
      </x:c>
      <x:c r="O84" s="10" t="s">
        <x:v>871</x:v>
      </x:c>
      <x:c r="P84" s="10" t="s">
        <x:v>925</x:v>
      </x:c>
      <x:c r="Q84" s="10" t="s">
        <x:v>873</x:v>
      </x:c>
      <x:c r="R84" s="10"/>
      <x:c r="S84" s="9" t="s">
        <x:v>853</x:v>
      </x:c>
      <x:c r="T84" s="10" t="s">
        <x:v>914</x:v>
      </x:c>
      <x:c r="U84" s="10" t="s">
        <x:v>855</x:v>
      </x:c>
      <x:c r="V84" s="9" t="s">
        <x:v>311</x:v>
      </x:c>
      <x:c r="W84" s="9" t="s">
        <x:v>312</x:v>
      </x:c>
      <x:c r="X84" s="9" t="s">
        <x:v>313</x:v>
      </x:c>
      <x:c r="Y84" s="9" t="s">
        <x:v>381</x:v>
      </x:c>
      <x:c r="Z84" s="9" t="s">
        <x:v>6</x:v>
      </x:c>
      <x:c r="AA84" s="10"/>
      <x:c r="AB84" s="10"/>
      <x:c r="AC84" s="10"/>
      <x:c r="AD84" s="10"/>
      <x:c r="AE84" s="10"/>
      <x:c r="AF84" s="10"/>
      <x:c r="AG84" s="10"/>
      <x:c r="AH84" s="23" t="n">
        <x:f aca="0">IF(AND($Z84="CANCELLED",COUNTIFS('09_风险与决策'!$A$5:$A$100,$AG84,'09_风险与决策'!$B$5:$B$100,"Decision",'09_风险与决策'!$L$5:$L$100,"ACCEPTED")&gt;0),0,1)</x:f>
        <x:v>1</x:v>
      </x:c>
      <x:c r="AI84" s="10"/>
      <x:c r="AJ84" s="9" t="s">
        <x:v>926</x:v>
      </x:c>
    </x:row>
    <x:row r="85" ht="52" hidden="0" customHeight="1">
      <x:c r="A85" s="9" t="s">
        <x:v>927</x:v>
      </x:c>
      <x:c r="B85" s="9" t="s">
        <x:v>57</x:v>
      </x:c>
      <x:c r="C85" s="9" t="s">
        <x:v>57</x:v>
      </x:c>
      <x:c r="D85" s="9" t="s">
        <x:v>845</x:v>
      </x:c>
      <x:c r="E85" s="10" t="s">
        <x:v>928</x:v>
      </x:c>
      <x:c r="F85" s="9" t="s">
        <x:v>425</x:v>
      </x:c>
      <x:c r="G85" s="10" t="s">
        <x:v>232</x:v>
      </x:c>
      <x:c r="H85" s="10" t="s">
        <x:v>847</x:v>
      </x:c>
      <x:c r="I85" s="10" t="s">
        <x:v>928</x:v>
      </x:c>
      <x:c r="J85" s="10" t="s">
        <x:v>236</x:v>
      </x:c>
      <x:c r="K85" s="10" t="s">
        <x:v>848</x:v>
      </x:c>
      <x:c r="L85" s="9" t="s">
        <x:v>929</x:v>
      </x:c>
      <x:c r="M85" s="10" t="s">
        <x:v>928</x:v>
      </x:c>
      <x:c r="N85" s="9" t="s">
        <x:v>923</x:v>
      </x:c>
      <x:c r="O85" s="10" t="s">
        <x:v>850</x:v>
      </x:c>
      <x:c r="P85" s="10" t="s">
        <x:v>930</x:v>
      </x:c>
      <x:c r="Q85" s="10" t="s">
        <x:v>852</x:v>
      </x:c>
      <x:c r="R85" s="10"/>
      <x:c r="S85" s="9" t="s">
        <x:v>853</x:v>
      </x:c>
      <x:c r="T85" s="10" t="s">
        <x:v>931</x:v>
      </x:c>
      <x:c r="U85" s="10" t="s">
        <x:v>855</x:v>
      </x:c>
      <x:c r="V85" s="9" t="s">
        <x:v>311</x:v>
      </x:c>
      <x:c r="W85" s="9" t="s">
        <x:v>753</x:v>
      </x:c>
      <x:c r="X85" s="9" t="s">
        <x:v>313</x:v>
      </x:c>
      <x:c r="Y85" s="9" t="s">
        <x:v>314</x:v>
      </x:c>
      <x:c r="Z85" s="9" t="s">
        <x:v>6</x:v>
      </x:c>
      <x:c r="AA85" s="10"/>
      <x:c r="AB85" s="10"/>
      <x:c r="AC85" s="10"/>
      <x:c r="AD85" s="10"/>
      <x:c r="AE85" s="10"/>
      <x:c r="AF85" s="10"/>
      <x:c r="AG85" s="10"/>
      <x:c r="AH85" s="23" t="n">
        <x:f aca="0">IF(AND($Z85="CANCELLED",COUNTIFS('09_风险与决策'!$A$5:$A$100,$AG85,'09_风险与决策'!$B$5:$B$100,"Decision",'09_风险与决策'!$L$5:$L$100,"ACCEPTED")&gt;0),0,1)</x:f>
        <x:v>1</x:v>
      </x:c>
      <x:c r="AI85" s="10"/>
      <x:c r="AJ85" s="9" t="s">
        <x:v>932</x:v>
      </x:c>
    </x:row>
    <x:row r="86" ht="52" hidden="0" customHeight="1">
      <x:c r="A86" s="9" t="s">
        <x:v>933</x:v>
      </x:c>
      <x:c r="B86" s="9" t="s">
        <x:v>57</x:v>
      </x:c>
      <x:c r="C86" s="9" t="s">
        <x:v>57</x:v>
      </x:c>
      <x:c r="D86" s="9" t="s">
        <x:v>858</x:v>
      </x:c>
      <x:c r="E86" s="10" t="s">
        <x:v>934</x:v>
      </x:c>
      <x:c r="F86" s="9" t="s">
        <x:v>260</x:v>
      </x:c>
      <x:c r="G86" s="10" t="s">
        <x:v>232</x:v>
      </x:c>
      <x:c r="H86" s="10" t="s">
        <x:v>847</x:v>
      </x:c>
      <x:c r="I86" s="10" t="s">
        <x:v>934</x:v>
      </x:c>
      <x:c r="J86" s="10" t="s">
        <x:v>236</x:v>
      </x:c>
      <x:c r="K86" s="10" t="s">
        <x:v>848</x:v>
      </x:c>
      <x:c r="L86" s="9" t="s">
        <x:v>929</x:v>
      </x:c>
      <x:c r="M86" s="10" t="s">
        <x:v>934</x:v>
      </x:c>
      <x:c r="N86" s="9" t="s">
        <x:v>927</x:v>
      </x:c>
      <x:c r="O86" s="10" t="s">
        <x:v>860</x:v>
      </x:c>
      <x:c r="P86" s="10" t="s">
        <x:v>935</x:v>
      </x:c>
      <x:c r="Q86" s="10" t="s">
        <x:v>852</x:v>
      </x:c>
      <x:c r="R86" s="10"/>
      <x:c r="S86" s="9" t="s">
        <x:v>853</x:v>
      </x:c>
      <x:c r="T86" s="10" t="s">
        <x:v>931</x:v>
      </x:c>
      <x:c r="U86" s="10" t="s">
        <x:v>855</x:v>
      </x:c>
      <x:c r="V86" s="9" t="s">
        <x:v>311</x:v>
      </x:c>
      <x:c r="W86" s="9" t="s">
        <x:v>753</x:v>
      </x:c>
      <x:c r="X86" s="9" t="s">
        <x:v>452</x:v>
      </x:c>
      <x:c r="Y86" s="9" t="s">
        <x:v>381</x:v>
      </x:c>
      <x:c r="Z86" s="9" t="s">
        <x:v>6</x:v>
      </x:c>
      <x:c r="AA86" s="10"/>
      <x:c r="AB86" s="10"/>
      <x:c r="AC86" s="10"/>
      <x:c r="AD86" s="10"/>
      <x:c r="AE86" s="10"/>
      <x:c r="AF86" s="10"/>
      <x:c r="AG86" s="10"/>
      <x:c r="AH86" s="23" t="n">
        <x:f aca="0">IF(AND($Z86="CANCELLED",COUNTIFS('09_风险与决策'!$A$5:$A$100,$AG86,'09_风险与决策'!$B$5:$B$100,"Decision",'09_风险与决策'!$L$5:$L$100,"ACCEPTED")&gt;0),0,1)</x:f>
        <x:v>1</x:v>
      </x:c>
      <x:c r="AI86" s="10"/>
      <x:c r="AJ86" s="9" t="s">
        <x:v>936</x:v>
      </x:c>
    </x:row>
    <x:row r="87" ht="52" hidden="0" customHeight="1">
      <x:c r="A87" s="9" t="s">
        <x:v>937</x:v>
      </x:c>
      <x:c r="B87" s="9" t="s">
        <x:v>57</x:v>
      </x:c>
      <x:c r="C87" s="9" t="s">
        <x:v>57</x:v>
      </x:c>
      <x:c r="D87" s="9" t="s">
        <x:v>864</x:v>
      </x:c>
      <x:c r="E87" s="10" t="s">
        <x:v>938</x:v>
      </x:c>
      <x:c r="F87" s="9" t="s">
        <x:v>260</x:v>
      </x:c>
      <x:c r="G87" s="10" t="s">
        <x:v>232</x:v>
      </x:c>
      <x:c r="H87" s="10" t="s">
        <x:v>847</x:v>
      </x:c>
      <x:c r="I87" s="10" t="s">
        <x:v>938</x:v>
      </x:c>
      <x:c r="J87" s="10" t="s">
        <x:v>236</x:v>
      </x:c>
      <x:c r="K87" s="10" t="s">
        <x:v>848</x:v>
      </x:c>
      <x:c r="L87" s="9" t="s">
        <x:v>929</x:v>
      </x:c>
      <x:c r="M87" s="10" t="s">
        <x:v>938</x:v>
      </x:c>
      <x:c r="N87" s="9" t="s">
        <x:v>933</x:v>
      </x:c>
      <x:c r="O87" s="10" t="s">
        <x:v>866</x:v>
      </x:c>
      <x:c r="P87" s="10" t="s">
        <x:v>939</x:v>
      </x:c>
      <x:c r="Q87" s="10" t="s">
        <x:v>852</x:v>
      </x:c>
      <x:c r="R87" s="10"/>
      <x:c r="S87" s="9" t="s">
        <x:v>853</x:v>
      </x:c>
      <x:c r="T87" s="10" t="s">
        <x:v>931</x:v>
      </x:c>
      <x:c r="U87" s="10" t="s">
        <x:v>855</x:v>
      </x:c>
      <x:c r="V87" s="9" t="s">
        <x:v>311</x:v>
      </x:c>
      <x:c r="W87" s="9" t="s">
        <x:v>753</x:v>
      </x:c>
      <x:c r="X87" s="9" t="s">
        <x:v>452</x:v>
      </x:c>
      <x:c r="Y87" s="9" t="s">
        <x:v>381</x:v>
      </x:c>
      <x:c r="Z87" s="9" t="s">
        <x:v>6</x:v>
      </x:c>
      <x:c r="AA87" s="10"/>
      <x:c r="AB87" s="10"/>
      <x:c r="AC87" s="10"/>
      <x:c r="AD87" s="10"/>
      <x:c r="AE87" s="10"/>
      <x:c r="AF87" s="10"/>
      <x:c r="AG87" s="10"/>
      <x:c r="AH87" s="23" t="n">
        <x:f aca="0">IF(AND($Z87="CANCELLED",COUNTIFS('09_风险与决策'!$A$5:$A$100,$AG87,'09_风险与决策'!$B$5:$B$100,"Decision",'09_风险与决策'!$L$5:$L$100,"ACCEPTED")&gt;0),0,1)</x:f>
        <x:v>1</x:v>
      </x:c>
      <x:c r="AI87" s="10"/>
      <x:c r="AJ87" s="9" t="s">
        <x:v>936</x:v>
      </x:c>
    </x:row>
    <x:row r="88" ht="52" hidden="0" customHeight="1">
      <x:c r="A88" s="9" t="s">
        <x:v>940</x:v>
      </x:c>
      <x:c r="B88" s="9" t="s">
        <x:v>57</x:v>
      </x:c>
      <x:c r="C88" s="9" t="s">
        <x:v>57</x:v>
      </x:c>
      <x:c r="D88" s="9" t="s">
        <x:v>869</x:v>
      </x:c>
      <x:c r="E88" s="10" t="s">
        <x:v>941</x:v>
      </x:c>
      <x:c r="F88" s="9" t="s">
        <x:v>323</x:v>
      </x:c>
      <x:c r="G88" s="10" t="s">
        <x:v>232</x:v>
      </x:c>
      <x:c r="H88" s="10" t="s">
        <x:v>847</x:v>
      </x:c>
      <x:c r="I88" s="10" t="s">
        <x:v>941</x:v>
      </x:c>
      <x:c r="J88" s="10" t="s">
        <x:v>236</x:v>
      </x:c>
      <x:c r="K88" s="10" t="s">
        <x:v>848</x:v>
      </x:c>
      <x:c r="L88" s="9" t="s">
        <x:v>929</x:v>
      </x:c>
      <x:c r="M88" s="10" t="s">
        <x:v>941</x:v>
      </x:c>
      <x:c r="N88" s="9" t="s">
        <x:v>937</x:v>
      </x:c>
      <x:c r="O88" s="10" t="s">
        <x:v>871</x:v>
      </x:c>
      <x:c r="P88" s="10" t="s">
        <x:v>942</x:v>
      </x:c>
      <x:c r="Q88" s="10" t="s">
        <x:v>873</x:v>
      </x:c>
      <x:c r="R88" s="10"/>
      <x:c r="S88" s="9" t="s">
        <x:v>853</x:v>
      </x:c>
      <x:c r="T88" s="10" t="s">
        <x:v>931</x:v>
      </x:c>
      <x:c r="U88" s="10" t="s">
        <x:v>855</x:v>
      </x:c>
      <x:c r="V88" s="9" t="s">
        <x:v>311</x:v>
      </x:c>
      <x:c r="W88" s="9" t="s">
        <x:v>312</x:v>
      </x:c>
      <x:c r="X88" s="9" t="s">
        <x:v>313</x:v>
      </x:c>
      <x:c r="Y88" s="9" t="s">
        <x:v>381</x:v>
      </x:c>
      <x:c r="Z88" s="9" t="s">
        <x:v>6</x:v>
      </x:c>
      <x:c r="AA88" s="10"/>
      <x:c r="AB88" s="10"/>
      <x:c r="AC88" s="10"/>
      <x:c r="AD88" s="10"/>
      <x:c r="AE88" s="10"/>
      <x:c r="AF88" s="10"/>
      <x:c r="AG88" s="10"/>
      <x:c r="AH88" s="23" t="n">
        <x:f aca="0">IF(AND($Z88="CANCELLED",COUNTIFS('09_风险与决策'!$A$5:$A$100,$AG88,'09_风险与决策'!$B$5:$B$100,"Decision",'09_风险与决策'!$L$5:$L$100,"ACCEPTED")&gt;0),0,1)</x:f>
        <x:v>1</x:v>
      </x:c>
      <x:c r="AI88" s="10"/>
      <x:c r="AJ88" s="9" t="s">
        <x:v>943</x:v>
      </x:c>
    </x:row>
    <x:row r="89" ht="52" hidden="0" customHeight="1">
      <x:c r="A89" s="9" t="s">
        <x:v>944</x:v>
      </x:c>
      <x:c r="B89" s="9" t="s">
        <x:v>58</x:v>
      </x:c>
      <x:c r="C89" s="9" t="s">
        <x:v>58</x:v>
      </x:c>
      <x:c r="D89" s="9" t="s">
        <x:v>845</x:v>
      </x:c>
      <x:c r="E89" s="10" t="s">
        <x:v>945</x:v>
      </x:c>
      <x:c r="F89" s="9" t="s">
        <x:v>425</x:v>
      </x:c>
      <x:c r="G89" s="10" t="s">
        <x:v>244</x:v>
      </x:c>
      <x:c r="H89" s="10" t="s">
        <x:v>847</x:v>
      </x:c>
      <x:c r="I89" s="10" t="s">
        <x:v>945</x:v>
      </x:c>
      <x:c r="J89" s="10" t="s">
        <x:v>248</x:v>
      </x:c>
      <x:c r="K89" s="10" t="s">
        <x:v>848</x:v>
      </x:c>
      <x:c r="L89" s="9" t="s">
        <x:v>946</x:v>
      </x:c>
      <x:c r="M89" s="10" t="s">
        <x:v>945</x:v>
      </x:c>
      <x:c r="N89" s="9" t="s">
        <x:v>940</x:v>
      </x:c>
      <x:c r="O89" s="10" t="s">
        <x:v>850</x:v>
      </x:c>
      <x:c r="P89" s="10" t="s">
        <x:v>947</x:v>
      </x:c>
      <x:c r="Q89" s="10" t="s">
        <x:v>852</x:v>
      </x:c>
      <x:c r="R89" s="10"/>
      <x:c r="S89" s="9" t="s">
        <x:v>853</x:v>
      </x:c>
      <x:c r="T89" s="10" t="s">
        <x:v>948</x:v>
      </x:c>
      <x:c r="U89" s="10" t="s">
        <x:v>855</x:v>
      </x:c>
      <x:c r="V89" s="9" t="s">
        <x:v>311</x:v>
      </x:c>
      <x:c r="W89" s="9" t="s">
        <x:v>753</x:v>
      </x:c>
      <x:c r="X89" s="9" t="s">
        <x:v>313</x:v>
      </x:c>
      <x:c r="Y89" s="9" t="s">
        <x:v>314</x:v>
      </x:c>
      <x:c r="Z89" s="9" t="s">
        <x:v>6</x:v>
      </x:c>
      <x:c r="AA89" s="10"/>
      <x:c r="AB89" s="10"/>
      <x:c r="AC89" s="10"/>
      <x:c r="AD89" s="10"/>
      <x:c r="AE89" s="10"/>
      <x:c r="AF89" s="10"/>
      <x:c r="AG89" s="10"/>
      <x:c r="AH89" s="23" t="n">
        <x:f aca="0">IF(AND($Z89="CANCELLED",COUNTIFS('09_风险与决策'!$A$5:$A$100,$AG89,'09_风险与决策'!$B$5:$B$100,"Decision",'09_风险与决策'!$L$5:$L$100,"ACCEPTED")&gt;0),0,1)</x:f>
        <x:v>1</x:v>
      </x:c>
      <x:c r="AI89" s="10"/>
      <x:c r="AJ89" s="9" t="s">
        <x:v>949</x:v>
      </x:c>
    </x:row>
    <x:row r="90" ht="52" hidden="0" customHeight="1">
      <x:c r="A90" s="9" t="s">
        <x:v>950</x:v>
      </x:c>
      <x:c r="B90" s="9" t="s">
        <x:v>58</x:v>
      </x:c>
      <x:c r="C90" s="9" t="s">
        <x:v>58</x:v>
      </x:c>
      <x:c r="D90" s="9" t="s">
        <x:v>858</x:v>
      </x:c>
      <x:c r="E90" s="10" t="s">
        <x:v>951</x:v>
      </x:c>
      <x:c r="F90" s="9" t="s">
        <x:v>260</x:v>
      </x:c>
      <x:c r="G90" s="10" t="s">
        <x:v>244</x:v>
      </x:c>
      <x:c r="H90" s="10" t="s">
        <x:v>847</x:v>
      </x:c>
      <x:c r="I90" s="10" t="s">
        <x:v>951</x:v>
      </x:c>
      <x:c r="J90" s="10" t="s">
        <x:v>248</x:v>
      </x:c>
      <x:c r="K90" s="10" t="s">
        <x:v>848</x:v>
      </x:c>
      <x:c r="L90" s="9" t="s">
        <x:v>946</x:v>
      </x:c>
      <x:c r="M90" s="10" t="s">
        <x:v>951</x:v>
      </x:c>
      <x:c r="N90" s="9" t="s">
        <x:v>944</x:v>
      </x:c>
      <x:c r="O90" s="10" t="s">
        <x:v>860</x:v>
      </x:c>
      <x:c r="P90" s="10" t="s">
        <x:v>952</x:v>
      </x:c>
      <x:c r="Q90" s="10" t="s">
        <x:v>852</x:v>
      </x:c>
      <x:c r="R90" s="10"/>
      <x:c r="S90" s="9" t="s">
        <x:v>853</x:v>
      </x:c>
      <x:c r="T90" s="10" t="s">
        <x:v>948</x:v>
      </x:c>
      <x:c r="U90" s="10" t="s">
        <x:v>855</x:v>
      </x:c>
      <x:c r="V90" s="9" t="s">
        <x:v>311</x:v>
      </x:c>
      <x:c r="W90" s="9" t="s">
        <x:v>753</x:v>
      </x:c>
      <x:c r="X90" s="9" t="s">
        <x:v>452</x:v>
      </x:c>
      <x:c r="Y90" s="9" t="s">
        <x:v>381</x:v>
      </x:c>
      <x:c r="Z90" s="9" t="s">
        <x:v>6</x:v>
      </x:c>
      <x:c r="AA90" s="10"/>
      <x:c r="AB90" s="10"/>
      <x:c r="AC90" s="10"/>
      <x:c r="AD90" s="10"/>
      <x:c r="AE90" s="10"/>
      <x:c r="AF90" s="10"/>
      <x:c r="AG90" s="10"/>
      <x:c r="AH90" s="23" t="n">
        <x:f aca="0">IF(AND($Z90="CANCELLED",COUNTIFS('09_风险与决策'!$A$5:$A$100,$AG90,'09_风险与决策'!$B$5:$B$100,"Decision",'09_风险与决策'!$L$5:$L$100,"ACCEPTED")&gt;0),0,1)</x:f>
        <x:v>1</x:v>
      </x:c>
      <x:c r="AI90" s="10"/>
      <x:c r="AJ90" s="9" t="s">
        <x:v>953</x:v>
      </x:c>
    </x:row>
    <x:row r="91" ht="52" hidden="0" customHeight="1">
      <x:c r="A91" s="9" t="s">
        <x:v>954</x:v>
      </x:c>
      <x:c r="B91" s="9" t="s">
        <x:v>58</x:v>
      </x:c>
      <x:c r="C91" s="9" t="s">
        <x:v>58</x:v>
      </x:c>
      <x:c r="D91" s="9" t="s">
        <x:v>864</x:v>
      </x:c>
      <x:c r="E91" s="10" t="s">
        <x:v>955</x:v>
      </x:c>
      <x:c r="F91" s="9" t="s">
        <x:v>260</x:v>
      </x:c>
      <x:c r="G91" s="10" t="s">
        <x:v>244</x:v>
      </x:c>
      <x:c r="H91" s="10" t="s">
        <x:v>847</x:v>
      </x:c>
      <x:c r="I91" s="10" t="s">
        <x:v>955</x:v>
      </x:c>
      <x:c r="J91" s="10" t="s">
        <x:v>248</x:v>
      </x:c>
      <x:c r="K91" s="10" t="s">
        <x:v>848</x:v>
      </x:c>
      <x:c r="L91" s="9" t="s">
        <x:v>946</x:v>
      </x:c>
      <x:c r="M91" s="10" t="s">
        <x:v>955</x:v>
      </x:c>
      <x:c r="N91" s="9" t="s">
        <x:v>950</x:v>
      </x:c>
      <x:c r="O91" s="10" t="s">
        <x:v>866</x:v>
      </x:c>
      <x:c r="P91" s="10" t="s">
        <x:v>956</x:v>
      </x:c>
      <x:c r="Q91" s="10" t="s">
        <x:v>852</x:v>
      </x:c>
      <x:c r="R91" s="10"/>
      <x:c r="S91" s="9" t="s">
        <x:v>853</x:v>
      </x:c>
      <x:c r="T91" s="10" t="s">
        <x:v>948</x:v>
      </x:c>
      <x:c r="U91" s="10" t="s">
        <x:v>855</x:v>
      </x:c>
      <x:c r="V91" s="9" t="s">
        <x:v>311</x:v>
      </x:c>
      <x:c r="W91" s="9" t="s">
        <x:v>753</x:v>
      </x:c>
      <x:c r="X91" s="9" t="s">
        <x:v>452</x:v>
      </x:c>
      <x:c r="Y91" s="9" t="s">
        <x:v>381</x:v>
      </x:c>
      <x:c r="Z91" s="9" t="s">
        <x:v>6</x:v>
      </x:c>
      <x:c r="AA91" s="10"/>
      <x:c r="AB91" s="10"/>
      <x:c r="AC91" s="10"/>
      <x:c r="AD91" s="10"/>
      <x:c r="AE91" s="10"/>
      <x:c r="AF91" s="10"/>
      <x:c r="AG91" s="10"/>
      <x:c r="AH91" s="23" t="n">
        <x:f aca="0">IF(AND($Z91="CANCELLED",COUNTIFS('09_风险与决策'!$A$5:$A$100,$AG91,'09_风险与决策'!$B$5:$B$100,"Decision",'09_风险与决策'!$L$5:$L$100,"ACCEPTED")&gt;0),0,1)</x:f>
        <x:v>1</x:v>
      </x:c>
      <x:c r="AI91" s="10"/>
      <x:c r="AJ91" s="9" t="s">
        <x:v>953</x:v>
      </x:c>
    </x:row>
    <x:row r="92" ht="52" hidden="0" customHeight="1">
      <x:c r="A92" s="9" t="s">
        <x:v>957</x:v>
      </x:c>
      <x:c r="B92" s="9" t="s">
        <x:v>58</x:v>
      </x:c>
      <x:c r="C92" s="9" t="s">
        <x:v>58</x:v>
      </x:c>
      <x:c r="D92" s="9" t="s">
        <x:v>869</x:v>
      </x:c>
      <x:c r="E92" s="10" t="s">
        <x:v>958</x:v>
      </x:c>
      <x:c r="F92" s="9" t="s">
        <x:v>323</x:v>
      </x:c>
      <x:c r="G92" s="10" t="s">
        <x:v>244</x:v>
      </x:c>
      <x:c r="H92" s="10" t="s">
        <x:v>847</x:v>
      </x:c>
      <x:c r="I92" s="10" t="s">
        <x:v>958</x:v>
      </x:c>
      <x:c r="J92" s="10" t="s">
        <x:v>248</x:v>
      </x:c>
      <x:c r="K92" s="10" t="s">
        <x:v>848</x:v>
      </x:c>
      <x:c r="L92" s="9" t="s">
        <x:v>946</x:v>
      </x:c>
      <x:c r="M92" s="10" t="s">
        <x:v>958</x:v>
      </x:c>
      <x:c r="N92" s="9" t="s">
        <x:v>954</x:v>
      </x:c>
      <x:c r="O92" s="10" t="s">
        <x:v>871</x:v>
      </x:c>
      <x:c r="P92" s="10" t="s">
        <x:v>959</x:v>
      </x:c>
      <x:c r="Q92" s="10" t="s">
        <x:v>873</x:v>
      </x:c>
      <x:c r="R92" s="10"/>
      <x:c r="S92" s="9" t="s">
        <x:v>853</x:v>
      </x:c>
      <x:c r="T92" s="10" t="s">
        <x:v>948</x:v>
      </x:c>
      <x:c r="U92" s="10" t="s">
        <x:v>855</x:v>
      </x:c>
      <x:c r="V92" s="9" t="s">
        <x:v>311</x:v>
      </x:c>
      <x:c r="W92" s="9" t="s">
        <x:v>312</x:v>
      </x:c>
      <x:c r="X92" s="9" t="s">
        <x:v>313</x:v>
      </x:c>
      <x:c r="Y92" s="9" t="s">
        <x:v>381</x:v>
      </x:c>
      <x:c r="Z92" s="9" t="s">
        <x:v>6</x:v>
      </x:c>
      <x:c r="AA92" s="10"/>
      <x:c r="AB92" s="10"/>
      <x:c r="AC92" s="10"/>
      <x:c r="AD92" s="10"/>
      <x:c r="AE92" s="10"/>
      <x:c r="AF92" s="10"/>
      <x:c r="AG92" s="10"/>
      <x:c r="AH92" s="23" t="n">
        <x:f aca="0">IF(AND($Z92="CANCELLED",COUNTIFS('09_风险与决策'!$A$5:$A$100,$AG92,'09_风险与决策'!$B$5:$B$100,"Decision",'09_风险与决策'!$L$5:$L$100,"ACCEPTED")&gt;0),0,1)</x:f>
        <x:v>1</x:v>
      </x:c>
      <x:c r="AI92" s="10"/>
      <x:c r="AJ92" s="9" t="s">
        <x:v>960</x:v>
      </x:c>
    </x:row>
  </x:sheetData>
  <x:mergeCells>
    <x:mergeCell ref="A1:AJ1"/>
    <x:mergeCell ref="A2:AJ2"/>
  </x:mergeCells>
  <x:conditionalFormatting sqref="Z5:Z92">
    <x:cfRule type="containsText" dxfId="29" priority="2" aboveAverage="0" percent="0" bottom="0" operator="containsText" text="BLOCKED" rank="0" equalAverage="0">
      <x:formula>NOT(ISERROR(SEARCH("BLOCKED",Z5)))</x:formula>
    </x:cfRule>
    <x:cfRule type="containsText" dxfId="30" priority="3" aboveAverage="0" percent="0" bottom="0" operator="containsText" text="REVIEW_FAILED" rank="0" equalAverage="0">
      <x:formula>NOT(ISERROR(SEARCH("REVIEW_FAILED",Z5)))</x:formula>
    </x:cfRule>
    <x:cfRule type="containsText" dxfId="31" priority="4" aboveAverage="0" percent="0" bottom="0" operator="containsText" text="READY" rank="0" equalAverage="0">
      <x:formula>NOT(ISERROR(SEARCH("READY",Z5)))</x:formula>
    </x:cfRule>
    <x:cfRule type="containsText" dxfId="32" priority="5" aboveAverage="0" percent="0" bottom="0" operator="containsText" text="IN_PROGRESS" rank="0" equalAverage="0">
      <x:formula>NOT(ISERROR(SEARCH("IN_PROGRESS",Z5)))</x:formula>
    </x:cfRule>
    <x:cfRule type="containsText" dxfId="33" priority="6" aboveAverage="0" percent="0" bottom="0" operator="containsText" text="IMPLEMENTED_PENDING_REVIEW" rank="0" equalAverage="0">
      <x:formula>NOT(ISERROR(SEARCH("IMPLEMENTED_PENDING_REVIEW",Z5)))</x:formula>
    </x:cfRule>
    <x:cfRule type="containsText" dxfId="34" priority="7" aboveAverage="0" percent="0" bottom="0" operator="containsText" text="VERIFIED" rank="0" equalAverage="0">
      <x:formula>NOT(ISERROR(SEARCH("VERIFIED",Z5)))</x:formula>
    </x:cfRule>
    <x:cfRule type="containsText" dxfId="35" priority="8" aboveAverage="0" percent="0" bottom="0" operator="containsText" text="DEFERRED" rank="0" equalAverage="0">
      <x:formula>NOT(ISERROR(SEARCH("DEFERRED",Z5)))</x:formula>
    </x:cfRule>
  </x:conditionalFormatting>
  <x:conditionalFormatting sqref="A5:AJ92">
    <x:cfRule type="expression" dxfId="36" priority="9" aboveAverage="0" percent="0" bottom="0" rank="0" equalAverage="0">
      <x:formula>$Z5="BLOCKED"</x:formula>
    </x:cfRule>
  </x:conditionalFormatting>
  <x:dataValidations count="3">
    <x:dataValidation type="list" errorStyle="stop" operator="between" allowBlank="0" showDropDown="0" showInputMessage="0" showErrorMessage="0" sqref="X5:X92">
      <x:formula1>"P0,P1,P2,P3"</x:formula1>
      <x:formula2>0</x:formula2>
    </x:dataValidation>
    <x:dataValidation type="list" errorStyle="stop" operator="between" allowBlank="0" showDropDown="0" showInputMessage="0" showErrorMessage="0" sqref="Y5:Y92">
      <x:formula1>"LOW,MEDIUM,HIGH,CRITICAL"</x:formula1>
      <x:formula2>0</x:formula2>
    </x:dataValidation>
    <x:dataValidation type="list" errorStyle="stop" operator="between" allowBlank="0" showDropDown="0" showInputMessage="0" showErrorMessage="0" sqref="Z5:Z92">
      <x:formula1>"NOT_STARTED,READY,IN_PROGRESS,BLOCKED,IMPLEMENTED_PENDING_REVIEW,REVIEW_FAILED,VERIFIED,DEFERRED,CANCELLED,UNVERIFIED"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0c8d7935fa748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10.739999771118164" hidden="0" customWidth="1"/>
    <x:col min="2" max="2" width="14.329999923706055" hidden="0" customWidth="1"/>
    <x:col min="3" max="3" width="35.810001373291016" hidden="0" customWidth="1"/>
    <x:col min="4" max="4" width="50.130001068115234" hidden="0" customWidth="1"/>
    <x:col min="5" max="5" width="45.349998474121094" hidden="0" customWidth="1"/>
    <x:col min="6" max="7" width="57.290000915527344" hidden="0" customWidth="1"/>
    <x:col min="8" max="8" width="33.41999816894531" hidden="0" customWidth="1"/>
    <x:col min="9" max="9" width="19.100000381469727" hidden="0" customWidth="1"/>
    <x:col min="10" max="10" width="28.649999618530273" hidden="0" customWidth="1"/>
    <x:col min="11" max="11" width="31.030000686645508" hidden="0" customWidth="1"/>
    <x:col min="12" max="12" width="57.290000915527344" hidden="0" customWidth="1"/>
  </x:cols>
  <x:sheetData>
    <x:row r="1" ht="28" hidden="0" customHeight="1">
      <x:c r="A1" s="17" t="s">
        <x:v>961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4" hidden="0" customHeight="1">
      <x:c r="A2" s="18" t="s">
        <x:v>962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15" hidden="0">
      <x:c r="A4" s="20" t="s">
        <x:v>259</x:v>
      </x:c>
      <x:c r="B4" s="14" t="s">
        <x:v>963</x:v>
      </x:c>
      <x:c r="C4" s="14" t="s">
        <x:v>964</x:v>
      </x:c>
      <x:c r="D4" s="14" t="s">
        <x:v>965</x:v>
      </x:c>
      <x:c r="E4" s="14" t="s">
        <x:v>966</x:v>
      </x:c>
      <x:c r="F4" s="14" t="s">
        <x:v>967</x:v>
      </x:c>
      <x:c r="G4" s="14" t="s">
        <x:v>968</x:v>
      </x:c>
      <x:c r="H4" s="14" t="s">
        <x:v>282</x:v>
      </x:c>
      <x:c r="I4" s="14" t="s">
        <x:v>969</x:v>
      </x:c>
      <x:c r="J4" s="14" t="s">
        <x:v>970</x:v>
      </x:c>
      <x:c r="K4" s="14" t="s">
        <x:v>279</x:v>
      </x:c>
      <x:c r="L4" s="21" t="s">
        <x:v>971</x:v>
      </x:c>
    </x:row>
    <x:row r="5" ht="38" hidden="0" customHeight="1">
      <x:c r="A5" s="7" t="s">
        <x:v>47</x:v>
      </x:c>
      <x:c r="B5" s="7" t="s">
        <x:v>319</x:v>
      </x:c>
      <x:c r="C5" s="8" t="s">
        <x:v>972</x:v>
      </x:c>
      <x:c r="D5" s="7" t="s">
        <x:v>293</x:v>
      </x:c>
      <x:c r="E5" s="7" t="s">
        <x:v>307</x:v>
      </x:c>
      <x:c r="F5" s="8" t="s">
        <x:v>973</x:v>
      </x:c>
      <x:c r="G5" s="8" t="s">
        <x:v>974</x:v>
      </x:c>
      <x:c r="H5" s="7" t="s">
        <x:v>26</x:v>
      </x:c>
      <x:c r="I5" s="7" t="s">
        <x:v>338</x:v>
      </x:c>
      <x:c r="J5" s="7" t="s">
        <x:v>360</x:v>
      </x:c>
      <x:c r="K5" s="7" t="s">
        <x:v>975</x:v>
      </x:c>
      <x:c r="L5" s="7" t="s">
        <x:v>976</x:v>
      </x:c>
    </x:row>
    <x:row r="6" ht="38" hidden="0" customHeight="1">
      <x:c r="A6" s="9" t="s">
        <x:v>47</x:v>
      </x:c>
      <x:c r="B6" s="9" t="s">
        <x:v>977</x:v>
      </x:c>
      <x:c r="C6" s="10" t="s">
        <x:v>978</x:v>
      </x:c>
      <x:c r="D6" s="9" t="s">
        <x:v>320</x:v>
      </x:c>
      <x:c r="E6" s="9" t="s">
        <x:v>333</x:v>
      </x:c>
      <x:c r="F6" s="10" t="s">
        <x:v>979</x:v>
      </x:c>
      <x:c r="G6" s="10" t="s">
        <x:v>980</x:v>
      </x:c>
      <x:c r="H6" s="9" t="s">
        <x:v>26</x:v>
      </x:c>
      <x:c r="I6" s="9" t="s">
        <x:v>338</x:v>
      </x:c>
      <x:c r="J6" s="9" t="s">
        <x:v>336</x:v>
      </x:c>
      <x:c r="K6" s="9" t="s">
        <x:v>981</x:v>
      </x:c>
      <x:c r="L6" s="9" t="s">
        <x:v>982</x:v>
      </x:c>
    </x:row>
    <x:row r="7" ht="38" hidden="0" customHeight="1">
      <x:c r="A7" s="9" t="s">
        <x:v>47</x:v>
      </x:c>
      <x:c r="B7" s="9" t="s">
        <x:v>983</x:v>
      </x:c>
      <x:c r="C7" s="10" t="s">
        <x:v>984</x:v>
      </x:c>
      <x:c r="D7" s="9" t="s">
        <x:v>320</x:v>
      </x:c>
      <x:c r="E7" s="9" t="s">
        <x:v>333</x:v>
      </x:c>
      <x:c r="F7" s="10" t="s">
        <x:v>985</x:v>
      </x:c>
      <x:c r="G7" s="10" t="s">
        <x:v>986</x:v>
      </x:c>
      <x:c r="H7" s="9" t="s">
        <x:v>26</x:v>
      </x:c>
      <x:c r="I7" s="9" t="s">
        <x:v>338</x:v>
      </x:c>
      <x:c r="J7" s="9" t="s">
        <x:v>336</x:v>
      </x:c>
      <x:c r="K7" s="9" t="s">
        <x:v>981</x:v>
      </x:c>
      <x:c r="L7" s="9" t="s">
        <x:v>987</x:v>
      </x:c>
    </x:row>
    <x:row r="8" ht="38" hidden="0" customHeight="1">
      <x:c r="A8" s="9" t="s">
        <x:v>47</x:v>
      </x:c>
      <x:c r="B8" s="9" t="s">
        <x:v>988</x:v>
      </x:c>
      <x:c r="C8" s="10" t="s">
        <x:v>989</x:v>
      </x:c>
      <x:c r="D8" s="9" t="s">
        <x:v>320</x:v>
      </x:c>
      <x:c r="E8" s="9" t="s">
        <x:v>333</x:v>
      </x:c>
      <x:c r="F8" s="10" t="s">
        <x:v>990</x:v>
      </x:c>
      <x:c r="G8" s="10" t="s">
        <x:v>991</x:v>
      </x:c>
      <x:c r="H8" s="9" t="s">
        <x:v>26</x:v>
      </x:c>
      <x:c r="I8" s="9" t="s">
        <x:v>338</x:v>
      </x:c>
      <x:c r="J8" s="9" t="s">
        <x:v>336</x:v>
      </x:c>
      <x:c r="K8" s="9" t="s">
        <x:v>981</x:v>
      </x:c>
      <x:c r="L8" s="9" t="s">
        <x:v>992</x:v>
      </x:c>
    </x:row>
    <x:row r="9" ht="38" hidden="0" customHeight="1">
      <x:c r="A9" s="9" t="s">
        <x:v>47</x:v>
      </x:c>
      <x:c r="B9" s="9" t="s">
        <x:v>993</x:v>
      </x:c>
      <x:c r="C9" s="10" t="s">
        <x:v>994</x:v>
      </x:c>
      <x:c r="D9" s="9" t="s">
        <x:v>320</x:v>
      </x:c>
      <x:c r="E9" s="9" t="s">
        <x:v>333</x:v>
      </x:c>
      <x:c r="F9" s="10" t="s">
        <x:v>995</x:v>
      </x:c>
      <x:c r="G9" s="10" t="s">
        <x:v>996</x:v>
      </x:c>
      <x:c r="H9" s="9" t="s">
        <x:v>26</x:v>
      </x:c>
      <x:c r="I9" s="9" t="s">
        <x:v>338</x:v>
      </x:c>
      <x:c r="J9" s="9" t="s">
        <x:v>336</x:v>
      </x:c>
      <x:c r="K9" s="9" t="s">
        <x:v>981</x:v>
      </x:c>
      <x:c r="L9" s="9" t="s">
        <x:v>997</x:v>
      </x:c>
    </x:row>
    <x:row r="10" ht="38" hidden="0" customHeight="1">
      <x:c r="A10" s="9" t="s">
        <x:v>47</x:v>
      </x:c>
      <x:c r="B10" s="9" t="s">
        <x:v>998</x:v>
      </x:c>
      <x:c r="C10" s="10" t="s">
        <x:v>999</x:v>
      </x:c>
      <x:c r="D10" s="9" t="s">
        <x:v>320</x:v>
      </x:c>
      <x:c r="E10" s="9" t="s">
        <x:v>333</x:v>
      </x:c>
      <x:c r="F10" s="10" t="s">
        <x:v>1000</x:v>
      </x:c>
      <x:c r="G10" s="10" t="s">
        <x:v>1001</x:v>
      </x:c>
      <x:c r="H10" s="9" t="s">
        <x:v>26</x:v>
      </x:c>
      <x:c r="I10" s="9" t="s">
        <x:v>338</x:v>
      </x:c>
      <x:c r="J10" s="9" t="s">
        <x:v>336</x:v>
      </x:c>
      <x:c r="K10" s="9" t="s">
        <x:v>981</x:v>
      </x:c>
      <x:c r="L10" s="9" t="s">
        <x:v>1002</x:v>
      </x:c>
    </x:row>
    <x:row r="11" ht="38" hidden="0" customHeight="1">
      <x:c r="A11" s="9" t="s">
        <x:v>47</x:v>
      </x:c>
      <x:c r="B11" s="9" t="s">
        <x:v>362</x:v>
      </x:c>
      <x:c r="C11" s="10" t="s">
        <x:v>1003</x:v>
      </x:c>
      <x:c r="D11" s="9" t="s">
        <x:v>1004</x:v>
      </x:c>
      <x:c r="E11" s="9" t="s">
        <x:v>1005</x:v>
      </x:c>
      <x:c r="F11" s="10" t="s">
        <x:v>1006</x:v>
      </x:c>
      <x:c r="G11" s="10" t="s">
        <x:v>1007</x:v>
      </x:c>
      <x:c r="H11" s="9" t="s">
        <x:v>26</x:v>
      </x:c>
      <x:c r="I11" s="9" t="s">
        <x:v>316</x:v>
      </x:c>
      <x:c r="J11" s="9" t="s">
        <x:v>1008</x:v>
      </x:c>
      <x:c r="K11" s="9" t="s">
        <x:v>981</x:v>
      </x:c>
      <x:c r="L11" s="9" t="s">
        <x:v>1009</x:v>
      </x:c>
    </x:row>
    <x:row r="12" ht="38" hidden="0" customHeight="1">
      <x:c r="A12" s="9" t="s">
        <x:v>49</x:v>
      </x:c>
      <x:c r="B12" s="9" t="s">
        <x:v>422</x:v>
      </x:c>
      <x:c r="C12" s="10" t="s">
        <x:v>972</x:v>
      </x:c>
      <x:c r="D12" s="9" t="s">
        <x:v>404</x:v>
      </x:c>
      <x:c r="E12" s="9" t="s">
        <x:v>418</x:v>
      </x:c>
      <x:c r="F12" s="10" t="s">
        <x:v>973</x:v>
      </x:c>
      <x:c r="G12" s="10" t="s">
        <x:v>974</x:v>
      </x:c>
      <x:c r="H12" s="9" t="str">
        <x:v>VERIFIED</x:v>
      </x:c>
      <x:c r="I12" s="10" t="str">
        <x:v>2026-07-30</x:v>
      </x:c>
      <x:c r="J12" s="10" t="str">
        <x:v>Independent Codex</x:v>
      </x:c>
      <x:c r="K12" s="10" t="str">
        <x:v>/root</x:v>
      </x:c>
      <x:c r="L12" s="19" t="str">
        <x:v>V5_P0_P1_PACKAGE_REVIEW_ACCEPTED：bd15fca；27 focused；tracked 29/29；all-present 30/30；RVW-V5-P0-P1-002。</x:v>
      </x:c>
    </x:row>
    <x:row r="13" ht="38" hidden="0" customHeight="1">
      <x:c r="A13" s="9" t="s">
        <x:v>49</x:v>
      </x:c>
      <x:c r="B13" s="9" t="s">
        <x:v>433</x:v>
      </x:c>
      <x:c r="C13" s="10" t="s">
        <x:v>978</x:v>
      </x:c>
      <x:c r="D13" s="9" t="s">
        <x:v>1010</x:v>
      </x:c>
      <x:c r="E13" s="9" t="s">
        <x:v>1011</x:v>
      </x:c>
      <x:c r="F13" s="10" t="s">
        <x:v>979</x:v>
      </x:c>
      <x:c r="G13" s="10" t="s">
        <x:v>980</x:v>
      </x:c>
      <x:c r="H13" s="9" t="str">
        <x:v>VERIFIED</x:v>
      </x:c>
      <x:c r="I13" s="10" t="str">
        <x:v>2026-07-30</x:v>
      </x:c>
      <x:c r="J13" s="10" t="str">
        <x:v>Independent Codex</x:v>
      </x:c>
      <x:c r="K13" s="10" t="str">
        <x:v>/root</x:v>
      </x:c>
      <x:c r="L13" s="19" t="str">
        <x:v>V5_G1_CONTRACT_PACKAGE_REVIEW_ACCEPTED：b3a7f03；51/51 + cross 30/30；tracked 29/29；all-present 30/30；workbook 14/14。</x:v>
      </x:c>
    </x:row>
    <x:row r="14" ht="38" hidden="0" customHeight="1">
      <x:c r="A14" s="9" t="s">
        <x:v>49</x:v>
      </x:c>
      <x:c r="B14" s="9" t="s">
        <x:v>462</x:v>
      </x:c>
      <x:c r="C14" s="10" t="s">
        <x:v>984</x:v>
      </x:c>
      <x:c r="D14" s="9" t="s">
        <x:v>1012</x:v>
      </x:c>
      <x:c r="E14" s="9" t="s">
        <x:v>1013</x:v>
      </x:c>
      <x:c r="F14" s="10" t="s">
        <x:v>985</x:v>
      </x:c>
      <x:c r="G14" s="10" t="s">
        <x:v>986</x:v>
      </x:c>
      <x:c r="H14" s="9" t="str">
        <x:v>VERIFIED</x:v>
      </x:c>
      <x:c r="I14" s="10" t="str">
        <x:v>2026-07-31</x:v>
      </x:c>
      <x:c r="J14" s="10" t="str">
        <x:v>Independent Codex</x:v>
      </x:c>
      <x:c r="K14" s="10" t="str">
        <x:v>/root/v5_g2_boundary_fresh_independent_reviewer_003</x:v>
      </x:c>
      <x:c r="L14" s="19" t="str">
        <x:v>V5_G2_RUNTIME_PACKAGE_REVIEW_ACCEPTED：fresh reviewer 绑定 cd7be2b→e2c1096→5d659243→fab962c→4d0fbfc；四文件 repair；independent probe 29/29；P5 51/51；focused 6/6·185；tracked 33/33·1739；all-present 35/35·1871/1905；S1A.2 八文件不变。只接受 G2，G3–G6/V6 保持 NOT_STARTED。</x:v>
      </x:c>
    </x:row>
    <x:row r="15" ht="38" hidden="0" customHeight="1">
      <x:c r="A15" s="9" t="s">
        <x:v>49</x:v>
      </x:c>
      <x:c r="B15" s="9" t="s">
        <x:v>623</x:v>
      </x:c>
      <x:c r="C15" s="10" t="s">
        <x:v>989</x:v>
      </x:c>
      <x:c r="D15" s="9" t="s">
        <x:v>1014</x:v>
      </x:c>
      <x:c r="E15" s="9" t="s">
        <x:v>1015</x:v>
      </x:c>
      <x:c r="F15" s="10" t="s">
        <x:v>990</x:v>
      </x:c>
      <x:c r="G15" s="10" t="s">
        <x:v>991</x:v>
      </x:c>
      <x:c r="H15" s="9" t="s">
        <x:v>6</x:v>
      </x:c>
      <x:c r="I15" s="10"/>
      <x:c r="J15" s="10"/>
      <x:c r="K15" s="10"/>
      <x:c r="L15" s="10"/>
    </x:row>
    <x:row r="16" ht="38" hidden="0" customHeight="1">
      <x:c r="A16" s="9" t="s">
        <x:v>49</x:v>
      </x:c>
      <x:c r="B16" s="9" t="s">
        <x:v>669</x:v>
      </x:c>
      <x:c r="C16" s="10" t="s">
        <x:v>994</x:v>
      </x:c>
      <x:c r="D16" s="9" t="s">
        <x:v>1016</x:v>
      </x:c>
      <x:c r="E16" s="9" t="s">
        <x:v>1017</x:v>
      </x:c>
      <x:c r="F16" s="10" t="s">
        <x:v>995</x:v>
      </x:c>
      <x:c r="G16" s="10" t="s">
        <x:v>996</x:v>
      </x:c>
      <x:c r="H16" s="9" t="s">
        <x:v>6</x:v>
      </x:c>
      <x:c r="I16" s="10"/>
      <x:c r="J16" s="10"/>
      <x:c r="K16" s="10"/>
      <x:c r="L16" s="10"/>
    </x:row>
    <x:row r="17" ht="38" hidden="0" customHeight="1">
      <x:c r="A17" s="9" t="s">
        <x:v>49</x:v>
      </x:c>
      <x:c r="B17" s="9" t="s">
        <x:v>722</x:v>
      </x:c>
      <x:c r="C17" s="10" t="s">
        <x:v>999</x:v>
      </x:c>
      <x:c r="D17" s="9" t="s">
        <x:v>1018</x:v>
      </x:c>
      <x:c r="E17" s="9" t="s">
        <x:v>1019</x:v>
      </x:c>
      <x:c r="F17" s="10" t="s">
        <x:v>1000</x:v>
      </x:c>
      <x:c r="G17" s="10" t="s">
        <x:v>1001</x:v>
      </x:c>
      <x:c r="H17" s="9" t="s">
        <x:v>6</x:v>
      </x:c>
      <x:c r="I17" s="10"/>
      <x:c r="J17" s="10"/>
      <x:c r="K17" s="10"/>
      <x:c r="L17" s="10"/>
    </x:row>
    <x:row r="18" ht="38" hidden="0" customHeight="1">
      <x:c r="A18" s="9" t="s">
        <x:v>49</x:v>
      </x:c>
      <x:c r="B18" s="9" t="s">
        <x:v>737</x:v>
      </x:c>
      <x:c r="C18" s="10" t="s">
        <x:v>1003</x:v>
      </x:c>
      <x:c r="D18" s="9" t="s">
        <x:v>730</x:v>
      </x:c>
      <x:c r="E18" s="9" t="s">
        <x:v>736</x:v>
      </x:c>
      <x:c r="F18" s="10" t="s">
        <x:v>1006</x:v>
      </x:c>
      <x:c r="G18" s="10" t="s">
        <x:v>1007</x:v>
      </x:c>
      <x:c r="H18" s="9" t="s">
        <x:v>6</x:v>
      </x:c>
      <x:c r="I18" s="10"/>
      <x:c r="J18" s="10"/>
      <x:c r="K18" s="10"/>
      <x:c r="L18" s="10"/>
    </x:row>
    <x:row r="19" ht="38" hidden="0" customHeight="1">
      <x:c r="A19" s="9" t="s">
        <x:v>51</x:v>
      </x:c>
      <x:c r="B19" s="9" t="s">
        <x:v>1020</x:v>
      </x:c>
      <x:c r="C19" s="10" t="s">
        <x:v>972</x:v>
      </x:c>
      <x:c r="D19" s="9" t="s">
        <x:v>738</x:v>
      </x:c>
      <x:c r="E19" s="9" t="s">
        <x:v>750</x:v>
      </x:c>
      <x:c r="F19" s="10" t="s">
        <x:v>973</x:v>
      </x:c>
      <x:c r="G19" s="10" t="s">
        <x:v>974</x:v>
      </x:c>
      <x:c r="H19" s="9" t="s">
        <x:v>6</x:v>
      </x:c>
      <x:c r="I19" s="10"/>
      <x:c r="J19" s="10"/>
      <x:c r="K19" s="10"/>
      <x:c r="L19" s="10"/>
    </x:row>
    <x:row r="20" ht="38" hidden="0" customHeight="1">
      <x:c r="A20" s="9" t="s">
        <x:v>51</x:v>
      </x:c>
      <x:c r="B20" s="9" t="s">
        <x:v>760</x:v>
      </x:c>
      <x:c r="C20" s="10" t="s">
        <x:v>978</x:v>
      </x:c>
      <x:c r="D20" s="9" t="s">
        <x:v>1021</x:v>
      </x:c>
      <x:c r="E20" s="9" t="s">
        <x:v>1022</x:v>
      </x:c>
      <x:c r="F20" s="10" t="s">
        <x:v>979</x:v>
      </x:c>
      <x:c r="G20" s="10" t="s">
        <x:v>980</x:v>
      </x:c>
      <x:c r="H20" s="9" t="s">
        <x:v>6</x:v>
      </x:c>
      <x:c r="I20" s="10"/>
      <x:c r="J20" s="10"/>
      <x:c r="K20" s="10"/>
      <x:c r="L20" s="10"/>
    </x:row>
    <x:row r="21" ht="38" hidden="0" customHeight="1">
      <x:c r="A21" s="9" t="s">
        <x:v>51</x:v>
      </x:c>
      <x:c r="B21" s="9" t="s">
        <x:v>768</x:v>
      </x:c>
      <x:c r="C21" s="10" t="s">
        <x:v>984</x:v>
      </x:c>
      <x:c r="D21" s="9" t="s">
        <x:v>1023</x:v>
      </x:c>
      <x:c r="E21" s="9" t="s">
        <x:v>1024</x:v>
      </x:c>
      <x:c r="F21" s="10" t="s">
        <x:v>985</x:v>
      </x:c>
      <x:c r="G21" s="10" t="s">
        <x:v>986</x:v>
      </x:c>
      <x:c r="H21" s="9" t="s">
        <x:v>6</x:v>
      </x:c>
      <x:c r="I21" s="10"/>
      <x:c r="J21" s="10"/>
      <x:c r="K21" s="10"/>
      <x:c r="L21" s="10"/>
    </x:row>
    <x:row r="22" ht="38" hidden="0" customHeight="1">
      <x:c r="A22" s="9" t="s">
        <x:v>51</x:v>
      </x:c>
      <x:c r="B22" s="9" t="s">
        <x:v>830</x:v>
      </x:c>
      <x:c r="C22" s="10" t="s">
        <x:v>989</x:v>
      </x:c>
      <x:c r="D22" s="9" t="s">
        <x:v>823</x:v>
      </x:c>
      <x:c r="E22" s="9" t="s">
        <x:v>829</x:v>
      </x:c>
      <x:c r="F22" s="10" t="s">
        <x:v>990</x:v>
      </x:c>
      <x:c r="G22" s="10" t="s">
        <x:v>991</x:v>
      </x:c>
      <x:c r="H22" s="9" t="s">
        <x:v>6</x:v>
      </x:c>
      <x:c r="I22" s="10"/>
      <x:c r="J22" s="10"/>
      <x:c r="K22" s="10"/>
      <x:c r="L22" s="10"/>
    </x:row>
    <x:row r="23" ht="38" hidden="0" customHeight="1">
      <x:c r="A23" s="9" t="s">
        <x:v>51</x:v>
      </x:c>
      <x:c r="B23" s="9" t="s">
        <x:v>822</x:v>
      </x:c>
      <x:c r="C23" s="10" t="s">
        <x:v>994</x:v>
      </x:c>
      <x:c r="D23" s="9" t="s">
        <x:v>1025</x:v>
      </x:c>
      <x:c r="E23" s="9" t="s">
        <x:v>1026</x:v>
      </x:c>
      <x:c r="F23" s="10" t="s">
        <x:v>995</x:v>
      </x:c>
      <x:c r="G23" s="10" t="s">
        <x:v>996</x:v>
      </x:c>
      <x:c r="H23" s="9" t="s">
        <x:v>6</x:v>
      </x:c>
      <x:c r="I23" s="10"/>
      <x:c r="J23" s="10"/>
      <x:c r="K23" s="10"/>
      <x:c r="L23" s="10"/>
    </x:row>
    <x:row r="24" ht="38" hidden="0" customHeight="1">
      <x:c r="A24" s="9" t="s">
        <x:v>51</x:v>
      </x:c>
      <x:c r="B24" s="9" t="s">
        <x:v>1027</x:v>
      </x:c>
      <x:c r="C24" s="10" t="s">
        <x:v>999</x:v>
      </x:c>
      <x:c r="D24" s="9" t="s">
        <x:v>838</x:v>
      </x:c>
      <x:c r="E24" s="9" t="s">
        <x:v>842</x:v>
      </x:c>
      <x:c r="F24" s="10" t="s">
        <x:v>1000</x:v>
      </x:c>
      <x:c r="G24" s="10" t="s">
        <x:v>1001</x:v>
      </x:c>
      <x:c r="H24" s="9" t="s">
        <x:v>6</x:v>
      </x:c>
      <x:c r="I24" s="10"/>
      <x:c r="J24" s="10"/>
      <x:c r="K24" s="10"/>
      <x:c r="L24" s="10"/>
    </x:row>
    <x:row r="25" ht="38" hidden="0" customHeight="1">
      <x:c r="A25" s="9" t="s">
        <x:v>51</x:v>
      </x:c>
      <x:c r="B25" s="9" t="s">
        <x:v>1028</x:v>
      </x:c>
      <x:c r="C25" s="10" t="s">
        <x:v>1003</x:v>
      </x:c>
      <x:c r="D25" s="9" t="s">
        <x:v>1029</x:v>
      </x:c>
      <x:c r="E25" s="9" t="s">
        <x:v>1030</x:v>
      </x:c>
      <x:c r="F25" s="10" t="s">
        <x:v>1006</x:v>
      </x:c>
      <x:c r="G25" s="10" t="s">
        <x:v>1007</x:v>
      </x:c>
      <x:c r="H25" s="9" t="s">
        <x:v>6</x:v>
      </x:c>
      <x:c r="I25" s="10"/>
      <x:c r="J25" s="10"/>
      <x:c r="K25" s="10"/>
      <x:c r="L25" s="10"/>
    </x:row>
    <x:row r="26" ht="38" hidden="0" customHeight="1">
      <x:c r="A26" s="9" t="s">
        <x:v>53</x:v>
      </x:c>
      <x:c r="B26" s="9" t="s">
        <x:v>1031</x:v>
      </x:c>
      <x:c r="C26" s="10" t="s">
        <x:v>972</x:v>
      </x:c>
      <x:c r="D26" s="9" t="s">
        <x:v>844</x:v>
      </x:c>
      <x:c r="E26" s="10"/>
      <x:c r="F26" s="10" t="s">
        <x:v>1032</x:v>
      </x:c>
      <x:c r="G26" s="10" t="s">
        <x:v>974</x:v>
      </x:c>
      <x:c r="H26" s="9" t="s">
        <x:v>6</x:v>
      </x:c>
      <x:c r="I26" s="10"/>
      <x:c r="J26" s="10"/>
      <x:c r="K26" s="10"/>
      <x:c r="L26" s="10"/>
    </x:row>
    <x:row r="27" ht="38" hidden="0" customHeight="1">
      <x:c r="A27" s="9" t="s">
        <x:v>53</x:v>
      </x:c>
      <x:c r="B27" s="9" t="s">
        <x:v>1033</x:v>
      </x:c>
      <x:c r="C27" s="10" t="s">
        <x:v>978</x:v>
      </x:c>
      <x:c r="D27" s="9" t="s">
        <x:v>844</x:v>
      </x:c>
      <x:c r="E27" s="10"/>
      <x:c r="F27" s="10" t="s">
        <x:v>1034</x:v>
      </x:c>
      <x:c r="G27" s="10" t="s">
        <x:v>980</x:v>
      </x:c>
      <x:c r="H27" s="9" t="s">
        <x:v>6</x:v>
      </x:c>
      <x:c r="I27" s="10"/>
      <x:c r="J27" s="10"/>
      <x:c r="K27" s="10"/>
      <x:c r="L27" s="10"/>
    </x:row>
    <x:row r="28" ht="38" hidden="0" customHeight="1">
      <x:c r="A28" s="9" t="s">
        <x:v>53</x:v>
      </x:c>
      <x:c r="B28" s="9" t="s">
        <x:v>862</x:v>
      </x:c>
      <x:c r="C28" s="10" t="s">
        <x:v>984</x:v>
      </x:c>
      <x:c r="D28" s="9" t="s">
        <x:v>1035</x:v>
      </x:c>
      <x:c r="E28" s="10"/>
      <x:c r="F28" s="10" t="s">
        <x:v>1036</x:v>
      </x:c>
      <x:c r="G28" s="10" t="s">
        <x:v>986</x:v>
      </x:c>
      <x:c r="H28" s="9" t="s">
        <x:v>6</x:v>
      </x:c>
      <x:c r="I28" s="10"/>
      <x:c r="J28" s="10"/>
      <x:c r="K28" s="10"/>
      <x:c r="L28" s="10"/>
    </x:row>
    <x:row r="29" ht="38" hidden="0" customHeight="1">
      <x:c r="A29" s="9" t="s">
        <x:v>53</x:v>
      </x:c>
      <x:c r="B29" s="9" t="s">
        <x:v>1037</x:v>
      </x:c>
      <x:c r="C29" s="10" t="s">
        <x:v>989</x:v>
      </x:c>
      <x:c r="D29" s="9" t="s">
        <x:v>868</x:v>
      </x:c>
      <x:c r="E29" s="10"/>
      <x:c r="F29" s="10" t="s">
        <x:v>1038</x:v>
      </x:c>
      <x:c r="G29" s="10" t="s">
        <x:v>991</x:v>
      </x:c>
      <x:c r="H29" s="9" t="s">
        <x:v>6</x:v>
      </x:c>
      <x:c r="I29" s="10"/>
      <x:c r="J29" s="10"/>
      <x:c r="K29" s="10"/>
      <x:c r="L29" s="10"/>
    </x:row>
    <x:row r="30" ht="38" hidden="0" customHeight="1">
      <x:c r="A30" s="9" t="s">
        <x:v>53</x:v>
      </x:c>
      <x:c r="B30" s="9" t="s">
        <x:v>1039</x:v>
      </x:c>
      <x:c r="C30" s="10" t="s">
        <x:v>994</x:v>
      </x:c>
      <x:c r="D30" s="9" t="s">
        <x:v>868</x:v>
      </x:c>
      <x:c r="E30" s="10"/>
      <x:c r="F30" s="10" t="s">
        <x:v>1040</x:v>
      </x:c>
      <x:c r="G30" s="10" t="s">
        <x:v>996</x:v>
      </x:c>
      <x:c r="H30" s="9" t="s">
        <x:v>6</x:v>
      </x:c>
      <x:c r="I30" s="10"/>
      <x:c r="J30" s="10"/>
      <x:c r="K30" s="10"/>
      <x:c r="L30" s="10"/>
    </x:row>
    <x:row r="31" ht="38" hidden="0" customHeight="1">
      <x:c r="A31" s="9" t="s">
        <x:v>53</x:v>
      </x:c>
      <x:c r="B31" s="9" t="s">
        <x:v>1041</x:v>
      </x:c>
      <x:c r="C31" s="10" t="s">
        <x:v>999</x:v>
      </x:c>
      <x:c r="D31" s="9" t="s">
        <x:v>868</x:v>
      </x:c>
      <x:c r="E31" s="10"/>
      <x:c r="F31" s="10" t="s">
        <x:v>1042</x:v>
      </x:c>
      <x:c r="G31" s="10" t="s">
        <x:v>1001</x:v>
      </x:c>
      <x:c r="H31" s="9" t="s">
        <x:v>6</x:v>
      </x:c>
      <x:c r="I31" s="10"/>
      <x:c r="J31" s="10"/>
      <x:c r="K31" s="10"/>
      <x:c r="L31" s="10"/>
    </x:row>
    <x:row r="32" ht="38" hidden="0" customHeight="1">
      <x:c r="A32" s="9" t="s">
        <x:v>53</x:v>
      </x:c>
      <x:c r="B32" s="9" t="s">
        <x:v>1043</x:v>
      </x:c>
      <x:c r="C32" s="10" t="s">
        <x:v>1003</x:v>
      </x:c>
      <x:c r="D32" s="9" t="s">
        <x:v>868</x:v>
      </x:c>
      <x:c r="E32" s="10"/>
      <x:c r="F32" s="10" t="s">
        <x:v>1044</x:v>
      </x:c>
      <x:c r="G32" s="10" t="s">
        <x:v>1007</x:v>
      </x:c>
      <x:c r="H32" s="9" t="s">
        <x:v>6</x:v>
      </x:c>
      <x:c r="I32" s="10"/>
      <x:c r="J32" s="10"/>
      <x:c r="K32" s="10"/>
      <x:c r="L32" s="10"/>
    </x:row>
    <x:row r="33" ht="38" hidden="0" customHeight="1">
      <x:c r="A33" s="9" t="s">
        <x:v>54</x:v>
      </x:c>
      <x:c r="B33" s="9" t="s">
        <x:v>1045</x:v>
      </x:c>
      <x:c r="C33" s="10" t="s">
        <x:v>972</x:v>
      </x:c>
      <x:c r="D33" s="9" t="s">
        <x:v>875</x:v>
      </x:c>
      <x:c r="E33" s="10"/>
      <x:c r="F33" s="10" t="s">
        <x:v>1032</x:v>
      </x:c>
      <x:c r="G33" s="10" t="s">
        <x:v>974</x:v>
      </x:c>
      <x:c r="H33" s="9" t="s">
        <x:v>6</x:v>
      </x:c>
      <x:c r="I33" s="10"/>
      <x:c r="J33" s="10"/>
      <x:c r="K33" s="10"/>
      <x:c r="L33" s="10"/>
    </x:row>
    <x:row r="34" ht="38" hidden="0" customHeight="1">
      <x:c r="A34" s="9" t="s">
        <x:v>54</x:v>
      </x:c>
      <x:c r="B34" s="9" t="s">
        <x:v>1046</x:v>
      </x:c>
      <x:c r="C34" s="10" t="s">
        <x:v>978</x:v>
      </x:c>
      <x:c r="D34" s="9" t="s">
        <x:v>875</x:v>
      </x:c>
      <x:c r="E34" s="10"/>
      <x:c r="F34" s="10" t="s">
        <x:v>1034</x:v>
      </x:c>
      <x:c r="G34" s="10" t="s">
        <x:v>980</x:v>
      </x:c>
      <x:c r="H34" s="9" t="s">
        <x:v>6</x:v>
      </x:c>
      <x:c r="I34" s="10"/>
      <x:c r="J34" s="10"/>
      <x:c r="K34" s="10"/>
      <x:c r="L34" s="10"/>
    </x:row>
    <x:row r="35" ht="38" hidden="0" customHeight="1">
      <x:c r="A35" s="9" t="s">
        <x:v>54</x:v>
      </x:c>
      <x:c r="B35" s="9" t="s">
        <x:v>885</x:v>
      </x:c>
      <x:c r="C35" s="10" t="s">
        <x:v>984</x:v>
      </x:c>
      <x:c r="D35" s="9" t="s">
        <x:v>1047</x:v>
      </x:c>
      <x:c r="E35" s="10"/>
      <x:c r="F35" s="10" t="s">
        <x:v>1036</x:v>
      </x:c>
      <x:c r="G35" s="10" t="s">
        <x:v>986</x:v>
      </x:c>
      <x:c r="H35" s="9" t="s">
        <x:v>6</x:v>
      </x:c>
      <x:c r="I35" s="10"/>
      <x:c r="J35" s="10"/>
      <x:c r="K35" s="10"/>
      <x:c r="L35" s="10"/>
    </x:row>
    <x:row r="36" ht="38" hidden="0" customHeight="1">
      <x:c r="A36" s="9" t="s">
        <x:v>54</x:v>
      </x:c>
      <x:c r="B36" s="9" t="s">
        <x:v>1048</x:v>
      </x:c>
      <x:c r="C36" s="10" t="s">
        <x:v>989</x:v>
      </x:c>
      <x:c r="D36" s="9" t="s">
        <x:v>889</x:v>
      </x:c>
      <x:c r="E36" s="10"/>
      <x:c r="F36" s="10" t="s">
        <x:v>1038</x:v>
      </x:c>
      <x:c r="G36" s="10" t="s">
        <x:v>991</x:v>
      </x:c>
      <x:c r="H36" s="9" t="s">
        <x:v>6</x:v>
      </x:c>
      <x:c r="I36" s="10"/>
      <x:c r="J36" s="10"/>
      <x:c r="K36" s="10"/>
      <x:c r="L36" s="10"/>
    </x:row>
    <x:row r="37" ht="38" hidden="0" customHeight="1">
      <x:c r="A37" s="9" t="s">
        <x:v>54</x:v>
      </x:c>
      <x:c r="B37" s="9" t="s">
        <x:v>1049</x:v>
      </x:c>
      <x:c r="C37" s="10" t="s">
        <x:v>994</x:v>
      </x:c>
      <x:c r="D37" s="9" t="s">
        <x:v>889</x:v>
      </x:c>
      <x:c r="E37" s="10"/>
      <x:c r="F37" s="10" t="s">
        <x:v>1040</x:v>
      </x:c>
      <x:c r="G37" s="10" t="s">
        <x:v>996</x:v>
      </x:c>
      <x:c r="H37" s="9" t="s">
        <x:v>6</x:v>
      </x:c>
      <x:c r="I37" s="10"/>
      <x:c r="J37" s="10"/>
      <x:c r="K37" s="10"/>
      <x:c r="L37" s="10"/>
    </x:row>
    <x:row r="38" ht="38" hidden="0" customHeight="1">
      <x:c r="A38" s="9" t="s">
        <x:v>54</x:v>
      </x:c>
      <x:c r="B38" s="9" t="s">
        <x:v>1050</x:v>
      </x:c>
      <x:c r="C38" s="10" t="s">
        <x:v>999</x:v>
      </x:c>
      <x:c r="D38" s="9" t="s">
        <x:v>889</x:v>
      </x:c>
      <x:c r="E38" s="10"/>
      <x:c r="F38" s="10" t="s">
        <x:v>1042</x:v>
      </x:c>
      <x:c r="G38" s="10" t="s">
        <x:v>1001</x:v>
      </x:c>
      <x:c r="H38" s="9" t="s">
        <x:v>6</x:v>
      </x:c>
      <x:c r="I38" s="10"/>
      <x:c r="J38" s="10"/>
      <x:c r="K38" s="10"/>
      <x:c r="L38" s="10"/>
    </x:row>
    <x:row r="39" ht="38" hidden="0" customHeight="1">
      <x:c r="A39" s="9" t="s">
        <x:v>54</x:v>
      </x:c>
      <x:c r="B39" s="9" t="s">
        <x:v>1051</x:v>
      </x:c>
      <x:c r="C39" s="10" t="s">
        <x:v>1003</x:v>
      </x:c>
      <x:c r="D39" s="9" t="s">
        <x:v>889</x:v>
      </x:c>
      <x:c r="E39" s="10"/>
      <x:c r="F39" s="10" t="s">
        <x:v>1044</x:v>
      </x:c>
      <x:c r="G39" s="10" t="s">
        <x:v>1007</x:v>
      </x:c>
      <x:c r="H39" s="9" t="s">
        <x:v>6</x:v>
      </x:c>
      <x:c r="I39" s="10"/>
      <x:c r="J39" s="10"/>
      <x:c r="K39" s="10"/>
      <x:c r="L39" s="10"/>
    </x:row>
    <x:row r="40" ht="38" hidden="0" customHeight="1">
      <x:c r="A40" s="9" t="s">
        <x:v>55</x:v>
      </x:c>
      <x:c r="B40" s="9" t="s">
        <x:v>1052</x:v>
      </x:c>
      <x:c r="C40" s="10" t="s">
        <x:v>972</x:v>
      </x:c>
      <x:c r="D40" s="9" t="s">
        <x:v>893</x:v>
      </x:c>
      <x:c r="E40" s="10"/>
      <x:c r="F40" s="10" t="s">
        <x:v>1032</x:v>
      </x:c>
      <x:c r="G40" s="10" t="s">
        <x:v>974</x:v>
      </x:c>
      <x:c r="H40" s="9" t="s">
        <x:v>6</x:v>
      </x:c>
      <x:c r="I40" s="10"/>
      <x:c r="J40" s="10"/>
      <x:c r="K40" s="10"/>
      <x:c r="L40" s="10"/>
    </x:row>
    <x:row r="41" ht="38" hidden="0" customHeight="1">
      <x:c r="A41" s="9" t="s">
        <x:v>55</x:v>
      </x:c>
      <x:c r="B41" s="9" t="s">
        <x:v>1053</x:v>
      </x:c>
      <x:c r="C41" s="10" t="s">
        <x:v>978</x:v>
      </x:c>
      <x:c r="D41" s="9" t="s">
        <x:v>893</x:v>
      </x:c>
      <x:c r="E41" s="10"/>
      <x:c r="F41" s="10" t="s">
        <x:v>1034</x:v>
      </x:c>
      <x:c r="G41" s="10" t="s">
        <x:v>980</x:v>
      </x:c>
      <x:c r="H41" s="9" t="s">
        <x:v>6</x:v>
      </x:c>
      <x:c r="I41" s="10"/>
      <x:c r="J41" s="10"/>
      <x:c r="K41" s="10"/>
      <x:c r="L41" s="10"/>
    </x:row>
    <x:row r="42" ht="38" hidden="0" customHeight="1">
      <x:c r="A42" s="9" t="s">
        <x:v>55</x:v>
      </x:c>
      <x:c r="B42" s="9" t="s">
        <x:v>902</x:v>
      </x:c>
      <x:c r="C42" s="10" t="s">
        <x:v>984</x:v>
      </x:c>
      <x:c r="D42" s="9" t="s">
        <x:v>1054</x:v>
      </x:c>
      <x:c r="E42" s="10"/>
      <x:c r="F42" s="10" t="s">
        <x:v>1036</x:v>
      </x:c>
      <x:c r="G42" s="10" t="s">
        <x:v>986</x:v>
      </x:c>
      <x:c r="H42" s="9" t="s">
        <x:v>6</x:v>
      </x:c>
      <x:c r="I42" s="10"/>
      <x:c r="J42" s="10"/>
      <x:c r="K42" s="10"/>
      <x:c r="L42" s="10"/>
    </x:row>
    <x:row r="43" ht="38" hidden="0" customHeight="1">
      <x:c r="A43" s="9" t="s">
        <x:v>55</x:v>
      </x:c>
      <x:c r="B43" s="9" t="s">
        <x:v>1055</x:v>
      </x:c>
      <x:c r="C43" s="10" t="s">
        <x:v>989</x:v>
      </x:c>
      <x:c r="D43" s="9" t="s">
        <x:v>906</x:v>
      </x:c>
      <x:c r="E43" s="10"/>
      <x:c r="F43" s="10" t="s">
        <x:v>1038</x:v>
      </x:c>
      <x:c r="G43" s="10" t="s">
        <x:v>991</x:v>
      </x:c>
      <x:c r="H43" s="9" t="s">
        <x:v>6</x:v>
      </x:c>
      <x:c r="I43" s="10"/>
      <x:c r="J43" s="10"/>
      <x:c r="K43" s="10"/>
      <x:c r="L43" s="10"/>
    </x:row>
    <x:row r="44" ht="38" hidden="0" customHeight="1">
      <x:c r="A44" s="9" t="s">
        <x:v>55</x:v>
      </x:c>
      <x:c r="B44" s="9" t="s">
        <x:v>1056</x:v>
      </x:c>
      <x:c r="C44" s="10" t="s">
        <x:v>994</x:v>
      </x:c>
      <x:c r="D44" s="9" t="s">
        <x:v>906</x:v>
      </x:c>
      <x:c r="E44" s="10"/>
      <x:c r="F44" s="10" t="s">
        <x:v>1040</x:v>
      </x:c>
      <x:c r="G44" s="10" t="s">
        <x:v>996</x:v>
      </x:c>
      <x:c r="H44" s="9" t="s">
        <x:v>6</x:v>
      </x:c>
      <x:c r="I44" s="10"/>
      <x:c r="J44" s="10"/>
      <x:c r="K44" s="10"/>
      <x:c r="L44" s="10"/>
    </x:row>
    <x:row r="45" ht="38" hidden="0" customHeight="1">
      <x:c r="A45" s="9" t="s">
        <x:v>55</x:v>
      </x:c>
      <x:c r="B45" s="9" t="s">
        <x:v>1057</x:v>
      </x:c>
      <x:c r="C45" s="10" t="s">
        <x:v>999</x:v>
      </x:c>
      <x:c r="D45" s="9" t="s">
        <x:v>906</x:v>
      </x:c>
      <x:c r="E45" s="10"/>
      <x:c r="F45" s="10" t="s">
        <x:v>1042</x:v>
      </x:c>
      <x:c r="G45" s="10" t="s">
        <x:v>1001</x:v>
      </x:c>
      <x:c r="H45" s="9" t="s">
        <x:v>6</x:v>
      </x:c>
      <x:c r="I45" s="10"/>
      <x:c r="J45" s="10"/>
      <x:c r="K45" s="10"/>
      <x:c r="L45" s="10"/>
    </x:row>
    <x:row r="46" ht="38" hidden="0" customHeight="1">
      <x:c r="A46" s="9" t="s">
        <x:v>55</x:v>
      </x:c>
      <x:c r="B46" s="9" t="s">
        <x:v>1058</x:v>
      </x:c>
      <x:c r="C46" s="10" t="s">
        <x:v>1003</x:v>
      </x:c>
      <x:c r="D46" s="9" t="s">
        <x:v>906</x:v>
      </x:c>
      <x:c r="E46" s="10"/>
      <x:c r="F46" s="10" t="s">
        <x:v>1044</x:v>
      </x:c>
      <x:c r="G46" s="10" t="s">
        <x:v>1007</x:v>
      </x:c>
      <x:c r="H46" s="9" t="s">
        <x:v>6</x:v>
      </x:c>
      <x:c r="I46" s="10"/>
      <x:c r="J46" s="10"/>
      <x:c r="K46" s="10"/>
      <x:c r="L46" s="10"/>
    </x:row>
    <x:row r="47" ht="38" hidden="0" customHeight="1">
      <x:c r="A47" s="9" t="s">
        <x:v>56</x:v>
      </x:c>
      <x:c r="B47" s="9" t="s">
        <x:v>1059</x:v>
      </x:c>
      <x:c r="C47" s="10" t="s">
        <x:v>972</x:v>
      </x:c>
      <x:c r="D47" s="9" t="s">
        <x:v>910</x:v>
      </x:c>
      <x:c r="E47" s="10"/>
      <x:c r="F47" s="10" t="s">
        <x:v>1032</x:v>
      </x:c>
      <x:c r="G47" s="10" t="s">
        <x:v>974</x:v>
      </x:c>
      <x:c r="H47" s="9" t="s">
        <x:v>6</x:v>
      </x:c>
      <x:c r="I47" s="10"/>
      <x:c r="J47" s="10"/>
      <x:c r="K47" s="10"/>
      <x:c r="L47" s="10"/>
    </x:row>
    <x:row r="48" ht="38" hidden="0" customHeight="1">
      <x:c r="A48" s="9" t="s">
        <x:v>56</x:v>
      </x:c>
      <x:c r="B48" s="9" t="s">
        <x:v>1060</x:v>
      </x:c>
      <x:c r="C48" s="10" t="s">
        <x:v>978</x:v>
      </x:c>
      <x:c r="D48" s="9" t="s">
        <x:v>910</x:v>
      </x:c>
      <x:c r="E48" s="10"/>
      <x:c r="F48" s="10" t="s">
        <x:v>1034</x:v>
      </x:c>
      <x:c r="G48" s="10" t="s">
        <x:v>980</x:v>
      </x:c>
      <x:c r="H48" s="9" t="s">
        <x:v>6</x:v>
      </x:c>
      <x:c r="I48" s="10"/>
      <x:c r="J48" s="10"/>
      <x:c r="K48" s="10"/>
      <x:c r="L48" s="10"/>
    </x:row>
    <x:row r="49" ht="38" hidden="0" customHeight="1">
      <x:c r="A49" s="9" t="s">
        <x:v>56</x:v>
      </x:c>
      <x:c r="B49" s="9" t="s">
        <x:v>919</x:v>
      </x:c>
      <x:c r="C49" s="10" t="s">
        <x:v>984</x:v>
      </x:c>
      <x:c r="D49" s="9" t="s">
        <x:v>1061</x:v>
      </x:c>
      <x:c r="E49" s="10"/>
      <x:c r="F49" s="10" t="s">
        <x:v>1036</x:v>
      </x:c>
      <x:c r="G49" s="10" t="s">
        <x:v>986</x:v>
      </x:c>
      <x:c r="H49" s="9" t="s">
        <x:v>6</x:v>
      </x:c>
      <x:c r="I49" s="10"/>
      <x:c r="J49" s="10"/>
      <x:c r="K49" s="10"/>
      <x:c r="L49" s="10"/>
    </x:row>
    <x:row r="50" ht="38" hidden="0" customHeight="1">
      <x:c r="A50" s="9" t="s">
        <x:v>56</x:v>
      </x:c>
      <x:c r="B50" s="9" t="s">
        <x:v>1062</x:v>
      </x:c>
      <x:c r="C50" s="10" t="s">
        <x:v>989</x:v>
      </x:c>
      <x:c r="D50" s="9" t="s">
        <x:v>923</x:v>
      </x:c>
      <x:c r="E50" s="10"/>
      <x:c r="F50" s="10" t="s">
        <x:v>1038</x:v>
      </x:c>
      <x:c r="G50" s="10" t="s">
        <x:v>991</x:v>
      </x:c>
      <x:c r="H50" s="9" t="s">
        <x:v>6</x:v>
      </x:c>
      <x:c r="I50" s="10"/>
      <x:c r="J50" s="10"/>
      <x:c r="K50" s="10"/>
      <x:c r="L50" s="10"/>
    </x:row>
    <x:row r="51" ht="38" hidden="0" customHeight="1">
      <x:c r="A51" s="9" t="s">
        <x:v>56</x:v>
      </x:c>
      <x:c r="B51" s="9" t="s">
        <x:v>1063</x:v>
      </x:c>
      <x:c r="C51" s="10" t="s">
        <x:v>994</x:v>
      </x:c>
      <x:c r="D51" s="9" t="s">
        <x:v>923</x:v>
      </x:c>
      <x:c r="E51" s="10"/>
      <x:c r="F51" s="10" t="s">
        <x:v>1040</x:v>
      </x:c>
      <x:c r="G51" s="10" t="s">
        <x:v>996</x:v>
      </x:c>
      <x:c r="H51" s="9" t="s">
        <x:v>6</x:v>
      </x:c>
      <x:c r="I51" s="10"/>
      <x:c r="J51" s="10"/>
      <x:c r="K51" s="10"/>
      <x:c r="L51" s="10"/>
    </x:row>
    <x:row r="52" ht="38" hidden="0" customHeight="1">
      <x:c r="A52" s="9" t="s">
        <x:v>56</x:v>
      </x:c>
      <x:c r="B52" s="9" t="s">
        <x:v>1064</x:v>
      </x:c>
      <x:c r="C52" s="10" t="s">
        <x:v>999</x:v>
      </x:c>
      <x:c r="D52" s="9" t="s">
        <x:v>923</x:v>
      </x:c>
      <x:c r="E52" s="10"/>
      <x:c r="F52" s="10" t="s">
        <x:v>1042</x:v>
      </x:c>
      <x:c r="G52" s="10" t="s">
        <x:v>1001</x:v>
      </x:c>
      <x:c r="H52" s="9" t="s">
        <x:v>6</x:v>
      </x:c>
      <x:c r="I52" s="10"/>
      <x:c r="J52" s="10"/>
      <x:c r="K52" s="10"/>
      <x:c r="L52" s="10"/>
    </x:row>
    <x:row r="53" ht="38" hidden="0" customHeight="1">
      <x:c r="A53" s="9" t="s">
        <x:v>56</x:v>
      </x:c>
      <x:c r="B53" s="9" t="s">
        <x:v>1065</x:v>
      </x:c>
      <x:c r="C53" s="10" t="s">
        <x:v>1003</x:v>
      </x:c>
      <x:c r="D53" s="9" t="s">
        <x:v>923</x:v>
      </x:c>
      <x:c r="E53" s="10"/>
      <x:c r="F53" s="10" t="s">
        <x:v>1044</x:v>
      </x:c>
      <x:c r="G53" s="10" t="s">
        <x:v>1007</x:v>
      </x:c>
      <x:c r="H53" s="9" t="s">
        <x:v>6</x:v>
      </x:c>
      <x:c r="I53" s="10"/>
      <x:c r="J53" s="10"/>
      <x:c r="K53" s="10"/>
      <x:c r="L53" s="10"/>
    </x:row>
    <x:row r="54" ht="38" hidden="0" customHeight="1">
      <x:c r="A54" s="9" t="s">
        <x:v>57</x:v>
      </x:c>
      <x:c r="B54" s="9" t="s">
        <x:v>1066</x:v>
      </x:c>
      <x:c r="C54" s="10" t="s">
        <x:v>972</x:v>
      </x:c>
      <x:c r="D54" s="9" t="s">
        <x:v>927</x:v>
      </x:c>
      <x:c r="E54" s="10"/>
      <x:c r="F54" s="10" t="s">
        <x:v>1032</x:v>
      </x:c>
      <x:c r="G54" s="10" t="s">
        <x:v>974</x:v>
      </x:c>
      <x:c r="H54" s="9" t="s">
        <x:v>6</x:v>
      </x:c>
      <x:c r="I54" s="10"/>
      <x:c r="J54" s="10"/>
      <x:c r="K54" s="10"/>
      <x:c r="L54" s="10"/>
    </x:row>
    <x:row r="55" ht="38" hidden="0" customHeight="1">
      <x:c r="A55" s="9" t="s">
        <x:v>57</x:v>
      </x:c>
      <x:c r="B55" s="9" t="s">
        <x:v>1067</x:v>
      </x:c>
      <x:c r="C55" s="10" t="s">
        <x:v>978</x:v>
      </x:c>
      <x:c r="D55" s="9" t="s">
        <x:v>927</x:v>
      </x:c>
      <x:c r="E55" s="10"/>
      <x:c r="F55" s="10" t="s">
        <x:v>1034</x:v>
      </x:c>
      <x:c r="G55" s="10" t="s">
        <x:v>980</x:v>
      </x:c>
      <x:c r="H55" s="9" t="s">
        <x:v>6</x:v>
      </x:c>
      <x:c r="I55" s="10"/>
      <x:c r="J55" s="10"/>
      <x:c r="K55" s="10"/>
      <x:c r="L55" s="10"/>
    </x:row>
    <x:row r="56" ht="38" hidden="0" customHeight="1">
      <x:c r="A56" s="9" t="s">
        <x:v>57</x:v>
      </x:c>
      <x:c r="B56" s="9" t="s">
        <x:v>936</x:v>
      </x:c>
      <x:c r="C56" s="10" t="s">
        <x:v>984</x:v>
      </x:c>
      <x:c r="D56" s="9" t="s">
        <x:v>1068</x:v>
      </x:c>
      <x:c r="E56" s="10"/>
      <x:c r="F56" s="10" t="s">
        <x:v>1036</x:v>
      </x:c>
      <x:c r="G56" s="10" t="s">
        <x:v>986</x:v>
      </x:c>
      <x:c r="H56" s="9" t="s">
        <x:v>6</x:v>
      </x:c>
      <x:c r="I56" s="10"/>
      <x:c r="J56" s="10"/>
      <x:c r="K56" s="10"/>
      <x:c r="L56" s="10"/>
    </x:row>
    <x:row r="57" ht="38" hidden="0" customHeight="1">
      <x:c r="A57" s="9" t="s">
        <x:v>57</x:v>
      </x:c>
      <x:c r="B57" s="9" t="s">
        <x:v>1069</x:v>
      </x:c>
      <x:c r="C57" s="10" t="s">
        <x:v>989</x:v>
      </x:c>
      <x:c r="D57" s="9" t="s">
        <x:v>940</x:v>
      </x:c>
      <x:c r="E57" s="10"/>
      <x:c r="F57" s="10" t="s">
        <x:v>1038</x:v>
      </x:c>
      <x:c r="G57" s="10" t="s">
        <x:v>991</x:v>
      </x:c>
      <x:c r="H57" s="9" t="s">
        <x:v>6</x:v>
      </x:c>
      <x:c r="I57" s="10"/>
      <x:c r="J57" s="10"/>
      <x:c r="K57" s="10"/>
      <x:c r="L57" s="10"/>
    </x:row>
    <x:row r="58" ht="38" hidden="0" customHeight="1">
      <x:c r="A58" s="9" t="s">
        <x:v>57</x:v>
      </x:c>
      <x:c r="B58" s="9" t="s">
        <x:v>1070</x:v>
      </x:c>
      <x:c r="C58" s="10" t="s">
        <x:v>994</x:v>
      </x:c>
      <x:c r="D58" s="9" t="s">
        <x:v>940</x:v>
      </x:c>
      <x:c r="E58" s="10"/>
      <x:c r="F58" s="10" t="s">
        <x:v>1040</x:v>
      </x:c>
      <x:c r="G58" s="10" t="s">
        <x:v>996</x:v>
      </x:c>
      <x:c r="H58" s="9" t="s">
        <x:v>6</x:v>
      </x:c>
      <x:c r="I58" s="10"/>
      <x:c r="J58" s="10"/>
      <x:c r="K58" s="10"/>
      <x:c r="L58" s="10"/>
    </x:row>
    <x:row r="59" ht="38" hidden="0" customHeight="1">
      <x:c r="A59" s="9" t="s">
        <x:v>57</x:v>
      </x:c>
      <x:c r="B59" s="9" t="s">
        <x:v>1071</x:v>
      </x:c>
      <x:c r="C59" s="10" t="s">
        <x:v>999</x:v>
      </x:c>
      <x:c r="D59" s="9" t="s">
        <x:v>940</x:v>
      </x:c>
      <x:c r="E59" s="10"/>
      <x:c r="F59" s="10" t="s">
        <x:v>1042</x:v>
      </x:c>
      <x:c r="G59" s="10" t="s">
        <x:v>1001</x:v>
      </x:c>
      <x:c r="H59" s="9" t="s">
        <x:v>6</x:v>
      </x:c>
      <x:c r="I59" s="10"/>
      <x:c r="J59" s="10"/>
      <x:c r="K59" s="10"/>
      <x:c r="L59" s="10"/>
    </x:row>
    <x:row r="60" ht="38" hidden="0" customHeight="1">
      <x:c r="A60" s="9" t="s">
        <x:v>57</x:v>
      </x:c>
      <x:c r="B60" s="9" t="s">
        <x:v>1072</x:v>
      </x:c>
      <x:c r="C60" s="10" t="s">
        <x:v>1003</x:v>
      </x:c>
      <x:c r="D60" s="9" t="s">
        <x:v>940</x:v>
      </x:c>
      <x:c r="E60" s="10"/>
      <x:c r="F60" s="10" t="s">
        <x:v>1044</x:v>
      </x:c>
      <x:c r="G60" s="10" t="s">
        <x:v>1007</x:v>
      </x:c>
      <x:c r="H60" s="9" t="s">
        <x:v>6</x:v>
      </x:c>
      <x:c r="I60" s="10"/>
      <x:c r="J60" s="10"/>
      <x:c r="K60" s="10"/>
      <x:c r="L60" s="10"/>
    </x:row>
    <x:row r="61" ht="38" hidden="0" customHeight="1">
      <x:c r="A61" s="9" t="s">
        <x:v>58</x:v>
      </x:c>
      <x:c r="B61" s="9" t="s">
        <x:v>1073</x:v>
      </x:c>
      <x:c r="C61" s="10" t="s">
        <x:v>972</x:v>
      </x:c>
      <x:c r="D61" s="9" t="s">
        <x:v>944</x:v>
      </x:c>
      <x:c r="E61" s="10"/>
      <x:c r="F61" s="10" t="s">
        <x:v>1032</x:v>
      </x:c>
      <x:c r="G61" s="10" t="s">
        <x:v>974</x:v>
      </x:c>
      <x:c r="H61" s="9" t="s">
        <x:v>6</x:v>
      </x:c>
      <x:c r="I61" s="10"/>
      <x:c r="J61" s="10"/>
      <x:c r="K61" s="10"/>
      <x:c r="L61" s="10"/>
    </x:row>
    <x:row r="62" ht="38" hidden="0" customHeight="1">
      <x:c r="A62" s="9" t="s">
        <x:v>58</x:v>
      </x:c>
      <x:c r="B62" s="9" t="s">
        <x:v>1074</x:v>
      </x:c>
      <x:c r="C62" s="10" t="s">
        <x:v>978</x:v>
      </x:c>
      <x:c r="D62" s="9" t="s">
        <x:v>944</x:v>
      </x:c>
      <x:c r="E62" s="10"/>
      <x:c r="F62" s="10" t="s">
        <x:v>1034</x:v>
      </x:c>
      <x:c r="G62" s="10" t="s">
        <x:v>980</x:v>
      </x:c>
      <x:c r="H62" s="9" t="s">
        <x:v>6</x:v>
      </x:c>
      <x:c r="I62" s="10"/>
      <x:c r="J62" s="10"/>
      <x:c r="K62" s="10"/>
      <x:c r="L62" s="10"/>
    </x:row>
    <x:row r="63" ht="38" hidden="0" customHeight="1">
      <x:c r="A63" s="9" t="s">
        <x:v>58</x:v>
      </x:c>
      <x:c r="B63" s="9" t="s">
        <x:v>953</x:v>
      </x:c>
      <x:c r="C63" s="10" t="s">
        <x:v>984</x:v>
      </x:c>
      <x:c r="D63" s="9" t="s">
        <x:v>1075</x:v>
      </x:c>
      <x:c r="E63" s="10"/>
      <x:c r="F63" s="10" t="s">
        <x:v>1036</x:v>
      </x:c>
      <x:c r="G63" s="10" t="s">
        <x:v>986</x:v>
      </x:c>
      <x:c r="H63" s="9" t="s">
        <x:v>6</x:v>
      </x:c>
      <x:c r="I63" s="10"/>
      <x:c r="J63" s="10"/>
      <x:c r="K63" s="10"/>
      <x:c r="L63" s="10"/>
    </x:row>
    <x:row r="64" ht="38" hidden="0" customHeight="1">
      <x:c r="A64" s="9" t="s">
        <x:v>58</x:v>
      </x:c>
      <x:c r="B64" s="9" t="s">
        <x:v>1076</x:v>
      </x:c>
      <x:c r="C64" s="10" t="s">
        <x:v>989</x:v>
      </x:c>
      <x:c r="D64" s="9" t="s">
        <x:v>957</x:v>
      </x:c>
      <x:c r="E64" s="10"/>
      <x:c r="F64" s="10" t="s">
        <x:v>1038</x:v>
      </x:c>
      <x:c r="G64" s="10" t="s">
        <x:v>991</x:v>
      </x:c>
      <x:c r="H64" s="9" t="s">
        <x:v>6</x:v>
      </x:c>
      <x:c r="I64" s="10"/>
      <x:c r="J64" s="10"/>
      <x:c r="K64" s="10"/>
      <x:c r="L64" s="10"/>
    </x:row>
    <x:row r="65" ht="38" hidden="0" customHeight="1">
      <x:c r="A65" s="9" t="s">
        <x:v>58</x:v>
      </x:c>
      <x:c r="B65" s="9" t="s">
        <x:v>1077</x:v>
      </x:c>
      <x:c r="C65" s="10" t="s">
        <x:v>994</x:v>
      </x:c>
      <x:c r="D65" s="9" t="s">
        <x:v>957</x:v>
      </x:c>
      <x:c r="E65" s="10"/>
      <x:c r="F65" s="10" t="s">
        <x:v>1040</x:v>
      </x:c>
      <x:c r="G65" s="10" t="s">
        <x:v>996</x:v>
      </x:c>
      <x:c r="H65" s="9" t="s">
        <x:v>6</x:v>
      </x:c>
      <x:c r="I65" s="10"/>
      <x:c r="J65" s="10"/>
      <x:c r="K65" s="10"/>
      <x:c r="L65" s="10"/>
    </x:row>
    <x:row r="66" ht="38" hidden="0" customHeight="1">
      <x:c r="A66" s="9" t="s">
        <x:v>58</x:v>
      </x:c>
      <x:c r="B66" s="9" t="s">
        <x:v>1078</x:v>
      </x:c>
      <x:c r="C66" s="10" t="s">
        <x:v>999</x:v>
      </x:c>
      <x:c r="D66" s="9" t="s">
        <x:v>957</x:v>
      </x:c>
      <x:c r="E66" s="10"/>
      <x:c r="F66" s="10" t="s">
        <x:v>1042</x:v>
      </x:c>
      <x:c r="G66" s="10" t="s">
        <x:v>1001</x:v>
      </x:c>
      <x:c r="H66" s="9" t="s">
        <x:v>6</x:v>
      </x:c>
      <x:c r="I66" s="10"/>
      <x:c r="J66" s="10"/>
      <x:c r="K66" s="10"/>
      <x:c r="L66" s="10"/>
    </x:row>
    <x:row r="67" ht="38" hidden="0" customHeight="1">
      <x:c r="A67" s="9" t="s">
        <x:v>58</x:v>
      </x:c>
      <x:c r="B67" s="9" t="s">
        <x:v>1079</x:v>
      </x:c>
      <x:c r="C67" s="10" t="s">
        <x:v>1003</x:v>
      </x:c>
      <x:c r="D67" s="9" t="s">
        <x:v>957</x:v>
      </x:c>
      <x:c r="E67" s="10"/>
      <x:c r="F67" s="10" t="s">
        <x:v>1044</x:v>
      </x:c>
      <x:c r="G67" s="10" t="s">
        <x:v>1007</x:v>
      </x:c>
      <x:c r="H67" s="9" t="s">
        <x:v>6</x:v>
      </x:c>
      <x:c r="I67" s="10"/>
      <x:c r="J67" s="10"/>
      <x:c r="K67" s="10"/>
      <x:c r="L67" s="10"/>
    </x:row>
  </x:sheetData>
  <x:mergeCells>
    <x:mergeCell ref="A1:L1"/>
    <x:mergeCell ref="A2:L2"/>
  </x:mergeCells>
  <x:conditionalFormatting sqref="H5:H67">
    <x:cfRule type="containsText" dxfId="37" priority="2" aboveAverage="0" percent="0" bottom="0" operator="containsText" text="BLOCKED" rank="0" equalAverage="0">
      <x:formula>NOT(ISERROR(SEARCH("BLOCKED",H5)))</x:formula>
    </x:cfRule>
    <x:cfRule type="containsText" dxfId="38" priority="3" aboveAverage="0" percent="0" bottom="0" operator="containsText" text="REVIEW_FAILED" rank="0" equalAverage="0">
      <x:formula>NOT(ISERROR(SEARCH("REVIEW_FAILED",H5)))</x:formula>
    </x:cfRule>
    <x:cfRule type="containsText" dxfId="39" priority="4" aboveAverage="0" percent="0" bottom="0" operator="containsText" text="READY" rank="0" equalAverage="0">
      <x:formula>NOT(ISERROR(SEARCH("READY",H5)))</x:formula>
    </x:cfRule>
    <x:cfRule type="containsText" dxfId="40" priority="5" aboveAverage="0" percent="0" bottom="0" operator="containsText" text="IN_PROGRESS" rank="0" equalAverage="0">
      <x:formula>NOT(ISERROR(SEARCH("IN_PROGRESS",H5)))</x:formula>
    </x:cfRule>
    <x:cfRule type="containsText" dxfId="41" priority="6" aboveAverage="0" percent="0" bottom="0" operator="containsText" text="IMPLEMENTED_PENDING_REVIEW" rank="0" equalAverage="0">
      <x:formula>NOT(ISERROR(SEARCH("IMPLEMENTED_PENDING_REVIEW",H5)))</x:formula>
    </x:cfRule>
    <x:cfRule type="containsText" dxfId="42" priority="7" aboveAverage="0" percent="0" bottom="0" operator="containsText" text="VERIFIED" rank="0" equalAverage="0">
      <x:formula>NOT(ISERROR(SEARCH("VERIFIED",H5)))</x:formula>
    </x:cfRule>
    <x:cfRule type="containsText" dxfId="43" priority="8" aboveAverage="0" percent="0" bottom="0" operator="containsText" text="DEFERRED" rank="0" equalAverage="0">
      <x:formula>NOT(ISERROR(SEARCH("DEFERRED",H5)))</x:formula>
    </x:cfRule>
  </x:conditionalFormatting>
  <x:dataValidations count="1">
    <x:dataValidation type="list" errorStyle="stop" operator="between" allowBlank="0" showDropDown="0" showInputMessage="0" showErrorMessage="0" sqref="H5:H67">
      <x:formula1>"NOT_STARTED,READY,IN_PROGRESS,BLOCKED,IMPLEMENTED_PENDING_REVIEW,REVIEW_FAILED,VERIFIED,DEFERRED,CANCELLED,UNVERIFIED"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a75b0531de4b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1.479999542236328" hidden="0" customWidth="1"/>
    <x:col min="2" max="2" width="62.060001373291016" hidden="0" customWidth="1"/>
    <x:col min="3" max="3" width="33.41999816894531" hidden="0" customWidth="1"/>
    <x:col min="4" max="4" width="11.9399995803833" hidden="0" customWidth="1"/>
    <x:col min="5" max="5" width="50.130001068115234" hidden="0" customWidth="1"/>
    <x:col min="6" max="6" width="40.58000183105469" hidden="0" customWidth="1"/>
    <x:col min="7" max="7" width="23.8700008392334" hidden="0" customWidth="1"/>
    <x:col min="8" max="8" width="52.52000045776367" hidden="0" customWidth="1"/>
    <x:col min="9" max="10" width="33.41999816894531" hidden="0" customWidth="1"/>
    <x:col min="11" max="11" width="35.810001373291016" hidden="0" customWidth="1"/>
  </x:cols>
  <x:sheetData>
    <x:row r="1" ht="28" hidden="0" customHeight="1">
      <x:c r="A1" s="17" t="s">
        <x:v>1080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4" hidden="0" customHeight="1">
      <x:c r="A2" s="18" t="s">
        <x:v>1081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4" ht="15" hidden="0">
      <x:c r="A4" s="20" t="s">
        <x:v>1082</x:v>
      </x:c>
      <x:c r="B4" s="14" t="s">
        <x:v>1083</x:v>
      </x:c>
      <x:c r="C4" s="14" t="s">
        <x:v>1084</x:v>
      </x:c>
      <x:c r="D4" s="14" t="s">
        <x:v>280</x:v>
      </x:c>
      <x:c r="E4" s="14" t="s">
        <x:v>1085</x:v>
      </x:c>
      <x:c r="F4" s="14" t="s">
        <x:v>1086</x:v>
      </x:c>
      <x:c r="G4" s="14" t="s">
        <x:v>1087</x:v>
      </x:c>
      <x:c r="H4" s="14" t="s">
        <x:v>1088</x:v>
      </x:c>
      <x:c r="I4" s="14" t="s">
        <x:v>1089</x:v>
      </x:c>
      <x:c r="J4" s="14" t="s">
        <x:v>1090</x:v>
      </x:c>
      <x:c r="K4" s="21" t="s">
        <x:v>1091</x:v>
      </x:c>
    </x:row>
    <x:row r="5" ht="38" hidden="0" customHeight="1">
      <x:c r="A5" s="7" t="s">
        <x:v>1092</x:v>
      </x:c>
      <x:c r="B5" s="7" t="s">
        <x:v>1093</x:v>
      </x:c>
      <x:c r="C5" s="8" t="s">
        <x:v>1094</x:v>
      </x:c>
      <x:c r="D5" s="7" t="s">
        <x:v>313</x:v>
      </x:c>
      <x:c r="E5" s="7" t="s">
        <x:v>1095</x:v>
      </x:c>
      <x:c r="F5" s="7" t="s">
        <x:v>1096</x:v>
      </x:c>
      <x:c r="G5" s="7" t="s">
        <x:v>1097</x:v>
      </x:c>
      <x:c r="H5" s="7" t="s">
        <x:v>1098</x:v>
      </x:c>
      <x:c r="I5" s="7" t="s">
        <x:v>1099</x:v>
      </x:c>
      <x:c r="J5" s="7" t="s">
        <x:v>1100</x:v>
      </x:c>
      <x:c r="K5" s="7" t="s">
        <x:v>26</x:v>
      </x:c>
    </x:row>
    <x:row r="6" ht="38" hidden="0" customHeight="1">
      <x:c r="A6" s="9" t="s">
        <x:v>1101</x:v>
      </x:c>
      <x:c r="B6" s="9" t="s">
        <x:v>1102</x:v>
      </x:c>
      <x:c r="C6" s="10" t="s">
        <x:v>1103</x:v>
      </x:c>
      <x:c r="D6" s="9" t="s">
        <x:v>313</x:v>
      </x:c>
      <x:c r="E6" s="9" t="s">
        <x:v>1104</x:v>
      </x:c>
      <x:c r="F6" s="9" t="s">
        <x:v>377</x:v>
      </x:c>
      <x:c r="G6" s="9" t="s">
        <x:v>1105</x:v>
      </x:c>
      <x:c r="H6" s="9" t="s">
        <x:v>1106</x:v>
      </x:c>
      <x:c r="I6" s="9" t="s">
        <x:v>1107</x:v>
      </x:c>
      <x:c r="J6" s="9" t="s">
        <x:v>1100</x:v>
      </x:c>
      <x:c r="K6" s="9" t="s">
        <x:v>26</x:v>
      </x:c>
    </x:row>
    <x:row r="7" ht="38" hidden="0" customHeight="1">
      <x:c r="A7" s="9" t="s">
        <x:v>1108</x:v>
      </x:c>
      <x:c r="B7" s="10" t="s">
        <x:v>1109</x:v>
      </x:c>
      <x:c r="C7" s="10" t="s">
        <x:v>1110</x:v>
      </x:c>
      <x:c r="D7" s="9" t="s">
        <x:v>313</x:v>
      </x:c>
      <x:c r="E7" s="9" t="s">
        <x:v>1111</x:v>
      </x:c>
      <x:c r="F7" s="9" t="s">
        <x:v>1112</x:v>
      </x:c>
      <x:c r="G7" s="9" t="s">
        <x:v>1113</x:v>
      </x:c>
      <x:c r="H7" s="9" t="s">
        <x:v>1114</x:v>
      </x:c>
      <x:c r="I7" s="9" t="str">
        <x:v>PASS_INDEPENDENT_REVIEW</x:v>
      </x:c>
      <x:c r="J7" s="10" t="str">
        <x:v>ACCEPTED</x:v>
      </x:c>
      <x:c r="K7" s="9" t="str">
        <x:v>VERIFIED</x:v>
      </x:c>
    </x:row>
    <x:row r="8" ht="38" hidden="0" customHeight="1">
      <x:c r="A8" s="9" t="s">
        <x:v>1115</x:v>
      </x:c>
      <x:c r="B8" s="10" t="s">
        <x:v>1116</x:v>
      </x:c>
      <x:c r="C8" s="10" t="s">
        <x:v>1110</x:v>
      </x:c>
      <x:c r="D8" s="9" t="s">
        <x:v>313</x:v>
      </x:c>
      <x:c r="E8" s="9" t="s">
        <x:v>1117</x:v>
      </x:c>
      <x:c r="F8" s="9" t="s">
        <x:v>439</x:v>
      </x:c>
      <x:c r="G8" s="9" t="s">
        <x:v>323</x:v>
      </x:c>
      <x:c r="H8" s="9" t="s">
        <x:v>1118</x:v>
      </x:c>
      <x:c r="I8" s="9" t="str">
        <x:v>PASS_INDEPENDENT_REVIEW</x:v>
      </x:c>
      <x:c r="J8" s="10" t="str">
        <x:v>ACCEPTED</x:v>
      </x:c>
      <x:c r="K8" s="9" t="str">
        <x:v>VERIFIED</x:v>
      </x:c>
    </x:row>
    <x:row r="9" ht="38" hidden="0" customHeight="1">
      <x:c r="A9" s="9" t="s">
        <x:v>1119</x:v>
      </x:c>
      <x:c r="B9" s="10" t="s">
        <x:v>1120</x:v>
      </x:c>
      <x:c r="C9" s="9" t="s">
        <x:v>1121</x:v>
      </x:c>
      <x:c r="D9" s="9" t="s">
        <x:v>313</x:v>
      </x:c>
      <x:c r="E9" s="9" t="s">
        <x:v>1122</x:v>
      </x:c>
      <x:c r="F9" s="9" t="s">
        <x:v>1123</x:v>
      </x:c>
      <x:c r="G9" s="9" t="s">
        <x:v>1105</x:v>
      </x:c>
      <x:c r="H9" s="9" t="s">
        <x:v>1124</x:v>
      </x:c>
      <x:c r="I9" s="9" t="str">
        <x:v>PASS_INDEPENDENT_REVIEW</x:v>
      </x:c>
      <x:c r="J9" s="10" t="str">
        <x:v>ACCEPTED / RVW-V5-G2-003</x:v>
      </x:c>
      <x:c r="K9" s="9" t="str">
        <x:v>VERIFIED</x:v>
      </x:c>
    </x:row>
    <x:row r="10" ht="38" hidden="0" customHeight="1">
      <x:c r="A10" s="9" t="s">
        <x:v>1125</x:v>
      </x:c>
      <x:c r="B10" s="10" t="s">
        <x:v>1126</x:v>
      </x:c>
      <x:c r="C10" s="9" t="s">
        <x:v>1127</x:v>
      </x:c>
      <x:c r="D10" s="9" t="s">
        <x:v>313</x:v>
      </x:c>
      <x:c r="E10" s="9" t="s">
        <x:v>1128</x:v>
      </x:c>
      <x:c r="F10" s="9" t="s">
        <x:v>546</x:v>
      </x:c>
      <x:c r="G10" s="9" t="s">
        <x:v>1129</x:v>
      </x:c>
      <x:c r="H10" s="9" t="s">
        <x:v>1130</x:v>
      </x:c>
      <x:c r="I10" s="9" t="str">
        <x:v>PASS_INDEPENDENT_REVIEW</x:v>
      </x:c>
      <x:c r="J10" s="10" t="str">
        <x:v>ACCEPTED / RVW-V5-G2-003</x:v>
      </x:c>
      <x:c r="K10" s="9" t="str">
        <x:v>VERIFIED</x:v>
      </x:c>
    </x:row>
    <x:row r="11" ht="38" hidden="0" customHeight="1">
      <x:c r="A11" s="9" t="s">
        <x:v>1131</x:v>
      </x:c>
      <x:c r="B11" s="10" t="s">
        <x:v>1132</x:v>
      </x:c>
      <x:c r="C11" s="9" t="s">
        <x:v>1133</x:v>
      </x:c>
      <x:c r="D11" s="9" t="s">
        <x:v>313</x:v>
      </x:c>
      <x:c r="E11" s="9" t="s">
        <x:v>1134</x:v>
      </x:c>
      <x:c r="F11" s="9" t="s">
        <x:v>546</x:v>
      </x:c>
      <x:c r="G11" s="9" t="s">
        <x:v>1105</x:v>
      </x:c>
      <x:c r="H11" s="9" t="s">
        <x:v>1135</x:v>
      </x:c>
      <x:c r="I11" s="9" t="str">
        <x:v>PASS_INDEPENDENT_REVIEW</x:v>
      </x:c>
      <x:c r="J11" s="10" t="str">
        <x:v>ACCEPTED / RVW-V5-G2-003</x:v>
      </x:c>
      <x:c r="K11" s="9" t="str">
        <x:v>VERIFIED</x:v>
      </x:c>
    </x:row>
    <x:row r="12" ht="38" hidden="0" customHeight="1">
      <x:c r="A12" s="9" t="s">
        <x:v>1136</x:v>
      </x:c>
      <x:c r="B12" s="9" t="s">
        <x:v>1137</x:v>
      </x:c>
      <x:c r="C12" s="9" t="s">
        <x:v>1138</x:v>
      </x:c>
      <x:c r="D12" s="9" t="s">
        <x:v>313</x:v>
      </x:c>
      <x:c r="E12" s="9" t="s">
        <x:v>1139</x:v>
      </x:c>
      <x:c r="F12" s="9" t="s">
        <x:v>1140</x:v>
      </x:c>
      <x:c r="G12" s="9" t="s">
        <x:v>1097</x:v>
      </x:c>
      <x:c r="H12" s="9" t="s">
        <x:v>1141</x:v>
      </x:c>
      <x:c r="I12" s="9" t="str">
        <x:v>PASS_G2_INDEPENDENT_REVIEW</x:v>
      </x:c>
      <x:c r="J12" s="10" t="str">
        <x:v>G2_RUNTIME_ACCEPTED / RVW-V5-G2-003；V5-P6-T003 尚未启动</x:v>
      </x:c>
      <x:c r="K12" s="9" t="str">
        <x:v>IMPLEMENTED_PENDING_REVIEW</x:v>
      </x:c>
    </x:row>
    <x:row r="13" ht="38" hidden="0" customHeight="1">
      <x:c r="A13" s="9" t="s">
        <x:v>1142</x:v>
      </x:c>
      <x:c r="B13" s="9" t="s">
        <x:v>1143</x:v>
      </x:c>
      <x:c r="C13" s="10" t="s">
        <x:v>1110</x:v>
      </x:c>
      <x:c r="D13" s="9" t="s">
        <x:v>313</x:v>
      </x:c>
      <x:c r="E13" s="9" t="s">
        <x:v>1144</x:v>
      </x:c>
      <x:c r="F13" s="9" t="s">
        <x:v>586</x:v>
      </x:c>
      <x:c r="G13" s="9" t="s">
        <x:v>1145</x:v>
      </x:c>
      <x:c r="H13" s="9" t="s">
        <x:v>1146</x:v>
      </x:c>
      <x:c r="I13" s="9" t="str">
        <x:v>PASS_INDEPENDENT_REVIEW</x:v>
      </x:c>
      <x:c r="J13" s="10" t="str">
        <x:v>ACCEPTED / RVW-V5-G2-003</x:v>
      </x:c>
      <x:c r="K13" s="9" t="str">
        <x:v>VERIFIED</x:v>
      </x:c>
    </x:row>
    <x:row r="14" ht="38" hidden="0" customHeight="1">
      <x:c r="A14" s="9" t="s">
        <x:v>1147</x:v>
      </x:c>
      <x:c r="B14" s="10" t="s">
        <x:v>1148</x:v>
      </x:c>
      <x:c r="C14" s="10" t="s">
        <x:v>1110</x:v>
      </x:c>
      <x:c r="D14" s="9" t="s">
        <x:v>313</x:v>
      </x:c>
      <x:c r="E14" s="9" t="s">
        <x:v>1149</x:v>
      </x:c>
      <x:c r="F14" s="9" t="s">
        <x:v>1150</x:v>
      </x:c>
      <x:c r="G14" s="9" t="s">
        <x:v>1105</x:v>
      </x:c>
      <x:c r="H14" s="9" t="s">
        <x:v>1151</x:v>
      </x:c>
      <x:c r="I14" s="9" t="str">
        <x:v>PASS_INDEPENDENT_REVIEW</x:v>
      </x:c>
      <x:c r="J14" s="10" t="str">
        <x:v>ACCEPTED / RVW-V5-G2-003</x:v>
      </x:c>
      <x:c r="K14" s="9" t="str">
        <x:v>VERIFIED</x:v>
      </x:c>
    </x:row>
    <x:row r="15" ht="38" hidden="0" customHeight="1">
      <x:c r="A15" s="9" t="s">
        <x:v>1152</x:v>
      </x:c>
      <x:c r="B15" s="10" t="s">
        <x:v>1153</x:v>
      </x:c>
      <x:c r="C15" s="10" t="s">
        <x:v>1154</x:v>
      </x:c>
      <x:c r="D15" s="9" t="s">
        <x:v>313</x:v>
      </x:c>
      <x:c r="E15" s="9" t="s">
        <x:v>1155</x:v>
      </x:c>
      <x:c r="F15" s="9" t="s">
        <x:v>614</x:v>
      </x:c>
      <x:c r="G15" s="9" t="s">
        <x:v>1145</x:v>
      </x:c>
      <x:c r="H15" s="9" t="s">
        <x:v>1156</x:v>
      </x:c>
      <x:c r="I15" s="9" t="str">
        <x:v>PASS_INDEPENDENT_REVIEW</x:v>
      </x:c>
      <x:c r="J15" s="10" t="str">
        <x:v>ACCEPTED / RVW-V5-G2-003</x:v>
      </x:c>
      <x:c r="K15" s="9" t="str">
        <x:v>VERIFIED</x:v>
      </x:c>
    </x:row>
    <x:row r="16" ht="38" hidden="0" customHeight="1">
      <x:c r="A16" s="9" t="s">
        <x:v>1157</x:v>
      </x:c>
      <x:c r="B16" s="10" t="s">
        <x:v>1158</x:v>
      </x:c>
      <x:c r="C16" s="10" t="s">
        <x:v>1110</x:v>
      </x:c>
      <x:c r="D16" s="9" t="s">
        <x:v>313</x:v>
      </x:c>
      <x:c r="E16" s="9" t="s">
        <x:v>1159</x:v>
      </x:c>
      <x:c r="F16" s="9" t="s">
        <x:v>657</x:v>
      </x:c>
      <x:c r="G16" s="9" t="s">
        <x:v>1113</x:v>
      </x:c>
      <x:c r="H16" s="9" t="s">
        <x:v>1160</x:v>
      </x:c>
      <x:c r="I16" s="9" t="str">
        <x:v>PASS_INDEPENDENT_REVIEW</x:v>
      </x:c>
      <x:c r="J16" s="10" t="str">
        <x:v>ACCEPTED / RVW-V5-G2-003</x:v>
      </x:c>
      <x:c r="K16" s="9" t="str">
        <x:v>VERIFIED</x:v>
      </x:c>
    </x:row>
    <x:row r="17" ht="38" hidden="0" customHeight="1">
      <x:c r="A17" s="9" t="s">
        <x:v>1161</x:v>
      </x:c>
      <x:c r="B17" s="10" t="s">
        <x:v>1162</x:v>
      </x:c>
      <x:c r="C17" s="9" t="s">
        <x:v>1121</x:v>
      </x:c>
      <x:c r="D17" s="9" t="s">
        <x:v>313</x:v>
      </x:c>
      <x:c r="E17" s="9" t="s">
        <x:v>1163</x:v>
      </x:c>
      <x:c r="F17" s="9" t="s">
        <x:v>1164</x:v>
      </x:c>
      <x:c r="G17" s="9" t="s">
        <x:v>1097</x:v>
      </x:c>
      <x:c r="H17" s="9" t="s">
        <x:v>1165</x:v>
      </x:c>
      <x:c r="I17" s="9" t="str">
        <x:v>PASS_G2_INDEPENDENT_REVIEW</x:v>
      </x:c>
      <x:c r="J17" s="10" t="str">
        <x:v>G2_PERSISTENCE_ACCEPTED / RVW-V5-G2-003；V5-P7-T004 实际窗口重载尚未启动</x:v>
      </x:c>
      <x:c r="K17" s="9" t="str">
        <x:v>IMPLEMENTED_PENDING_REVIEW</x:v>
      </x:c>
    </x:row>
    <x:row r="18" ht="38" hidden="0" customHeight="1">
      <x:c r="A18" s="9" t="s">
        <x:v>1166</x:v>
      </x:c>
      <x:c r="B18" s="10" t="s">
        <x:v>1167</x:v>
      </x:c>
      <x:c r="C18" s="10" t="s">
        <x:v>1168</x:v>
      </x:c>
      <x:c r="D18" s="9" t="s">
        <x:v>313</x:v>
      </x:c>
      <x:c r="E18" s="9" t="s">
        <x:v>1169</x:v>
      </x:c>
      <x:c r="F18" s="9" t="s">
        <x:v>657</x:v>
      </x:c>
      <x:c r="G18" s="9" t="s">
        <x:v>1105</x:v>
      </x:c>
      <x:c r="H18" s="9" t="s">
        <x:v>1170</x:v>
      </x:c>
      <x:c r="I18" s="9" t="str">
        <x:v>PASS_INDEPENDENT_REVIEW</x:v>
      </x:c>
      <x:c r="J18" s="10" t="str">
        <x:v>ACCEPTED / RVW-V5-G2-003</x:v>
      </x:c>
      <x:c r="K18" s="9" t="str">
        <x:v>VERIFIED</x:v>
      </x:c>
    </x:row>
    <x:row r="19" ht="38" hidden="0" customHeight="1">
      <x:c r="A19" s="9" t="s">
        <x:v>1171</x:v>
      </x:c>
      <x:c r="B19" s="10" t="s">
        <x:v>1172</x:v>
      </x:c>
      <x:c r="C19" s="10" t="s">
        <x:v>1173</x:v>
      </x:c>
      <x:c r="D19" s="9" t="s">
        <x:v>452</x:v>
      </x:c>
      <x:c r="E19" s="9" t="s">
        <x:v>1174</x:v>
      </x:c>
      <x:c r="F19" s="9" t="s">
        <x:v>714</x:v>
      </x:c>
      <x:c r="G19" s="9" t="s">
        <x:v>1175</x:v>
      </x:c>
      <x:c r="H19" s="9" t="s">
        <x:v>1176</x:v>
      </x:c>
      <x:c r="I19" s="9" t="s">
        <x:v>1177</x:v>
      </x:c>
      <x:c r="J19" s="10"/>
      <x:c r="K19" s="9" t="s">
        <x:v>6</x:v>
      </x:c>
    </x:row>
    <x:row r="20" ht="38" hidden="0" customHeight="1">
      <x:c r="A20" s="9" t="s">
        <x:v>1178</x:v>
      </x:c>
      <x:c r="B20" s="9" t="s">
        <x:v>1179</x:v>
      </x:c>
      <x:c r="C20" s="10" t="s">
        <x:v>1180</x:v>
      </x:c>
      <x:c r="D20" s="9" t="s">
        <x:v>313</x:v>
      </x:c>
      <x:c r="E20" s="9" t="s">
        <x:v>1018</x:v>
      </x:c>
      <x:c r="F20" s="9" t="s">
        <x:v>1181</x:v>
      </x:c>
      <x:c r="G20" s="9" t="s">
        <x:v>323</x:v>
      </x:c>
      <x:c r="H20" s="9" t="s">
        <x:v>1182</x:v>
      </x:c>
      <x:c r="I20" s="9" t="s">
        <x:v>1177</x:v>
      </x:c>
      <x:c r="J20" s="10"/>
      <x:c r="K20" s="9" t="s">
        <x:v>6</x:v>
      </x:c>
    </x:row>
    <x:row r="21" ht="38" hidden="0" customHeight="1">
      <x:c r="A21" s="9" t="s">
        <x:v>1183</x:v>
      </x:c>
      <x:c r="B21" s="10" t="s">
        <x:v>1184</x:v>
      </x:c>
      <x:c r="C21" s="9" t="s">
        <x:v>1185</x:v>
      </x:c>
      <x:c r="D21" s="9" t="s">
        <x:v>313</x:v>
      </x:c>
      <x:c r="E21" s="9" t="s">
        <x:v>1186</x:v>
      </x:c>
      <x:c r="F21" s="9" t="s">
        <x:v>829</x:v>
      </x:c>
      <x:c r="G21" s="9" t="s">
        <x:v>1145</x:v>
      </x:c>
      <x:c r="H21" s="9" t="s">
        <x:v>1187</x:v>
      </x:c>
      <x:c r="I21" s="9" t="s">
        <x:v>1177</x:v>
      </x:c>
      <x:c r="J21" s="10"/>
      <x:c r="K21" s="9" t="s">
        <x:v>6</x:v>
      </x:c>
    </x:row>
    <x:row r="22" ht="38" hidden="0" customHeight="1">
      <x:c r="A22" s="9" t="s">
        <x:v>1188</x:v>
      </x:c>
      <x:c r="B22" s="10" t="s">
        <x:v>1189</x:v>
      </x:c>
      <x:c r="C22" s="9" t="s">
        <x:v>1185</x:v>
      </x:c>
      <x:c r="D22" s="9" t="s">
        <x:v>313</x:v>
      </x:c>
      <x:c r="E22" s="9" t="s">
        <x:v>1190</x:v>
      </x:c>
      <x:c r="F22" s="9" t="s">
        <x:v>829</x:v>
      </x:c>
      <x:c r="G22" s="9" t="s">
        <x:v>1145</x:v>
      </x:c>
      <x:c r="H22" s="9" t="s">
        <x:v>1191</x:v>
      </x:c>
      <x:c r="I22" s="9" t="s">
        <x:v>1177</x:v>
      </x:c>
      <x:c r="J22" s="10"/>
      <x:c r="K22" s="9" t="s">
        <x:v>6</x:v>
      </x:c>
    </x:row>
    <x:row r="23" ht="38" hidden="0" customHeight="1">
      <x:c r="A23" s="9" t="s">
        <x:v>1192</x:v>
      </x:c>
      <x:c r="B23" s="10" t="s">
        <x:v>1193</x:v>
      </x:c>
      <x:c r="C23" s="9" t="s">
        <x:v>1185</x:v>
      </x:c>
      <x:c r="D23" s="9" t="s">
        <x:v>313</x:v>
      </x:c>
      <x:c r="E23" s="9" t="s">
        <x:v>1194</x:v>
      </x:c>
      <x:c r="F23" s="9" t="s">
        <x:v>1195</x:v>
      </x:c>
      <x:c r="G23" s="9" t="s">
        <x:v>1097</x:v>
      </x:c>
      <x:c r="H23" s="9" t="s">
        <x:v>1196</x:v>
      </x:c>
      <x:c r="I23" s="9" t="s">
        <x:v>1177</x:v>
      </x:c>
      <x:c r="J23" s="10"/>
      <x:c r="K23" s="9" t="s">
        <x:v>6</x:v>
      </x:c>
    </x:row>
    <x:row r="24" ht="38" hidden="0" customHeight="1">
      <x:c r="A24" s="9" t="s">
        <x:v>1197</x:v>
      </x:c>
      <x:c r="B24" s="10" t="s">
        <x:v>1198</x:v>
      </x:c>
      <x:c r="C24" s="10" t="s">
        <x:v>1199</x:v>
      </x:c>
      <x:c r="D24" s="9" t="s">
        <x:v>313</x:v>
      </x:c>
      <x:c r="E24" s="9" t="s">
        <x:v>1200</x:v>
      </x:c>
      <x:c r="F24" s="9" t="s">
        <x:v>829</x:v>
      </x:c>
      <x:c r="G24" s="9" t="s">
        <x:v>323</x:v>
      </x:c>
      <x:c r="H24" s="9" t="s">
        <x:v>1201</x:v>
      </x:c>
      <x:c r="I24" s="9" t="s">
        <x:v>1177</x:v>
      </x:c>
      <x:c r="J24" s="10"/>
      <x:c r="K24" s="9" t="s">
        <x:v>6</x:v>
      </x:c>
    </x:row>
    <x:row r="25" ht="38" hidden="0" customHeight="1">
      <x:c r="A25" s="9" t="s">
        <x:v>1202</x:v>
      </x:c>
      <x:c r="B25" s="10" t="s">
        <x:v>1203</x:v>
      </x:c>
      <x:c r="C25" s="10" t="s">
        <x:v>1204</x:v>
      </x:c>
      <x:c r="D25" s="9" t="s">
        <x:v>313</x:v>
      </x:c>
      <x:c r="E25" s="9" t="s">
        <x:v>1205</x:v>
      </x:c>
      <x:c r="F25" s="9" t="s">
        <x:v>879</x:v>
      </x:c>
      <x:c r="G25" s="9" t="s">
        <x:v>323</x:v>
      </x:c>
      <x:c r="H25" s="10" t="s">
        <x:v>1206</x:v>
      </x:c>
      <x:c r="I25" s="9" t="s">
        <x:v>1177</x:v>
      </x:c>
      <x:c r="J25" s="10"/>
      <x:c r="K25" s="9" t="s">
        <x:v>6</x:v>
      </x:c>
    </x:row>
    <x:row r="26" ht="38" hidden="0" customHeight="1">
      <x:c r="A26" s="9" t="s">
        <x:v>1207</x:v>
      </x:c>
      <x:c r="B26" s="9" t="s">
        <x:v>1208</x:v>
      </x:c>
      <x:c r="C26" s="10" t="s">
        <x:v>1204</x:v>
      </x:c>
      <x:c r="D26" s="9" t="s">
        <x:v>313</x:v>
      </x:c>
      <x:c r="E26" s="9" t="s">
        <x:v>1209</x:v>
      </x:c>
      <x:c r="F26" s="9" t="s">
        <x:v>1181</x:v>
      </x:c>
      <x:c r="G26" s="9" t="s">
        <x:v>323</x:v>
      </x:c>
      <x:c r="H26" s="9" t="s">
        <x:v>1210</x:v>
      </x:c>
      <x:c r="I26" s="9" t="s">
        <x:v>1177</x:v>
      </x:c>
      <x:c r="J26" s="10"/>
      <x:c r="K26" s="9" t="s">
        <x:v>6</x:v>
      </x:c>
    </x:row>
    <x:row r="27" ht="38" hidden="0" customHeight="1">
      <x:c r="A27" s="9" t="s">
        <x:v>1211</x:v>
      </x:c>
      <x:c r="B27" s="10" t="s">
        <x:v>1212</x:v>
      </x:c>
      <x:c r="C27" s="10" t="s">
        <x:v>1213</x:v>
      </x:c>
      <x:c r="D27" s="9" t="s">
        <x:v>313</x:v>
      </x:c>
      <x:c r="E27" s="9" t="s">
        <x:v>383</x:v>
      </x:c>
      <x:c r="F27" s="9" t="s">
        <x:v>1214</x:v>
      </x:c>
      <x:c r="G27" s="9" t="s">
        <x:v>1105</x:v>
      </x:c>
      <x:c r="H27" s="9" t="s">
        <x:v>1215</x:v>
      </x:c>
      <x:c r="I27" s="9" t="s">
        <x:v>1107</x:v>
      </x:c>
      <x:c r="J27" s="9" t="s">
        <x:v>1216</x:v>
      </x:c>
      <x:c r="K27" s="9" t="s">
        <x:v>26</x:v>
      </x:c>
    </x:row>
    <x:row r="28" ht="38" hidden="0" customHeight="1">
      <x:c r="A28" s="9" t="s">
        <x:v>1217</x:v>
      </x:c>
      <x:c r="B28" s="9" t="s">
        <x:v>1218</x:v>
      </x:c>
      <x:c r="C28" s="10" t="s">
        <x:v>1213</x:v>
      </x:c>
      <x:c r="D28" s="9" t="s">
        <x:v>313</x:v>
      </x:c>
      <x:c r="E28" s="9" t="s">
        <x:v>383</x:v>
      </x:c>
      <x:c r="F28" s="9" t="s">
        <x:v>1219</x:v>
      </x:c>
      <x:c r="G28" s="9" t="s">
        <x:v>1113</x:v>
      </x:c>
      <x:c r="H28" s="9" t="s">
        <x:v>1220</x:v>
      </x:c>
      <x:c r="I28" s="9" t="s">
        <x:v>1107</x:v>
      </x:c>
      <x:c r="J28" s="9" t="s">
        <x:v>1216</x:v>
      </x:c>
      <x:c r="K28" s="9" t="s">
        <x:v>26</x:v>
      </x:c>
    </x:row>
    <x:row r="29" ht="38" hidden="0" customHeight="1">
      <x:c r="A29" s="9" t="s">
        <x:v>1221</x:v>
      </x:c>
      <x:c r="B29" s="10" t="s">
        <x:v>1222</x:v>
      </x:c>
      <x:c r="C29" s="10" t="s">
        <x:v>1213</x:v>
      </x:c>
      <x:c r="D29" s="9" t="s">
        <x:v>452</x:v>
      </x:c>
      <x:c r="E29" s="9" t="s">
        <x:v>383</x:v>
      </x:c>
      <x:c r="F29" s="9" t="s">
        <x:v>1223</x:v>
      </x:c>
      <x:c r="G29" s="9" t="s">
        <x:v>1224</x:v>
      </x:c>
      <x:c r="H29" s="9" t="s">
        <x:v>1225</x:v>
      </x:c>
      <x:c r="I29" s="9" t="s">
        <x:v>1107</x:v>
      </x:c>
      <x:c r="J29" s="9" t="s">
        <x:v>1216</x:v>
      </x:c>
      <x:c r="K29" s="9" t="s">
        <x:v>26</x:v>
      </x:c>
    </x:row>
  </x:sheetData>
  <x:mergeCells>
    <x:mergeCell ref="A1:K1"/>
    <x:mergeCell ref="A2:K2"/>
  </x:mergeCells>
  <x:conditionalFormatting sqref="K5:K29">
    <x:cfRule type="containsText" dxfId="44" priority="2" aboveAverage="0" percent="0" bottom="0" operator="containsText" text="BLOCKED" rank="0" equalAverage="0">
      <x:formula>NOT(ISERROR(SEARCH("BLOCKED",K5)))</x:formula>
    </x:cfRule>
    <x:cfRule type="containsText" dxfId="45" priority="3" aboveAverage="0" percent="0" bottom="0" operator="containsText" text="REVIEW_FAILED" rank="0" equalAverage="0">
      <x:formula>NOT(ISERROR(SEARCH("REVIEW_FAILED",K5)))</x:formula>
    </x:cfRule>
    <x:cfRule type="containsText" dxfId="46" priority="4" aboveAverage="0" percent="0" bottom="0" operator="containsText" text="READY" rank="0" equalAverage="0">
      <x:formula>NOT(ISERROR(SEARCH("READY",K5)))</x:formula>
    </x:cfRule>
    <x:cfRule type="containsText" dxfId="47" priority="5" aboveAverage="0" percent="0" bottom="0" operator="containsText" text="IN_PROGRESS" rank="0" equalAverage="0">
      <x:formula>NOT(ISERROR(SEARCH("IN_PROGRESS",K5)))</x:formula>
    </x:cfRule>
    <x:cfRule type="containsText" dxfId="48" priority="6" aboveAverage="0" percent="0" bottom="0" operator="containsText" text="IMPLEMENTED_PENDING_REVIEW" rank="0" equalAverage="0">
      <x:formula>NOT(ISERROR(SEARCH("IMPLEMENTED_PENDING_REVIEW",K5)))</x:formula>
    </x:cfRule>
    <x:cfRule type="containsText" dxfId="49" priority="7" aboveAverage="0" percent="0" bottom="0" operator="containsText" text="VERIFIED" rank="0" equalAverage="0">
      <x:formula>NOT(ISERROR(SEARCH("VERIFIED",K5)))</x:formula>
    </x:cfRule>
    <x:cfRule type="containsText" dxfId="50" priority="8" aboveAverage="0" percent="0" bottom="0" operator="containsText" text="DEFERRED" rank="0" equalAverage="0">
      <x:formula>NOT(ISERROR(SEARCH("DEFERRED",K5)))</x:formula>
    </x:cfRule>
  </x:conditionalFormatting>
  <x:dataValidations count="2">
    <x:dataValidation type="list" errorStyle="stop" operator="between" allowBlank="0" showDropDown="0" showInputMessage="0" showErrorMessage="0" sqref="D5:D29">
      <x:formula1>"P0,P1,P2,P3"</x:formula1>
      <x:formula2>0</x:formula2>
    </x:dataValidation>
    <x:dataValidation type="list" errorStyle="stop" operator="between" allowBlank="0" showDropDown="0" showInputMessage="0" showErrorMessage="0" sqref="K5:K29">
      <x:formula1>"NOT_STARTED,READY,IN_PROGRESS,BLOCKED,IMPLEMENTED_PENDING_REVIEW,REVIEW_FAILED,VERIFIED,DEFERRED,CANCELLED,UNVERIFIED"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86a71fdb81c4f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3.8700008392334" hidden="0" customWidth="1"/>
    <x:col min="2" max="2" width="10.739999771118164" hidden="0" customWidth="1"/>
    <x:col min="3" max="3" width="31.030000686645508" hidden="0" customWidth="1"/>
    <x:col min="4" max="4" width="21.479999542236328" hidden="0" customWidth="1"/>
    <x:col min="5" max="5" width="23.8700008392334" hidden="0" customWidth="1"/>
    <x:col min="6" max="6" width="42.970001220703125" hidden="0" customWidth="1"/>
    <x:col min="7" max="7" width="47.7400016784668" hidden="0" customWidth="1"/>
    <x:col min="8" max="8" width="50.130001068115234" hidden="0" customWidth="1"/>
    <x:col min="9" max="9" width="57.290000915527344" hidden="0" customWidth="1"/>
    <x:col min="10" max="10" width="28.649999618530273" hidden="0" customWidth="1"/>
    <x:col min="11" max="11" width="21.479999542236328" hidden="0" customWidth="1"/>
    <x:col min="12" max="12" width="40.58000183105469" hidden="0" customWidth="1"/>
    <x:col min="13" max="14" width="21.479999542236328" hidden="0" customWidth="1"/>
    <x:col min="15" max="15" width="35.810001373291016" hidden="0" customWidth="1"/>
  </x:cols>
  <x:sheetData>
    <x:row r="1" ht="28" hidden="0" customHeight="1">
      <x:c r="A1" s="17" t="s">
        <x:v>1226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34" hidden="0" customHeight="1">
      <x:c r="A2" s="18" t="s">
        <x:v>1227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4" ht="15" hidden="0">
      <x:c r="A4" s="20" t="s">
        <x:v>1228</x:v>
      </x:c>
      <x:c r="B4" s="14" t="s">
        <x:v>259</x:v>
      </x:c>
      <x:c r="C4" s="14" t="s">
        <x:v>1229</x:v>
      </x:c>
      <x:c r="D4" s="14" t="s">
        <x:v>1230</x:v>
      </x:c>
      <x:c r="E4" s="14" t="s">
        <x:v>1231</x:v>
      </x:c>
      <x:c r="F4" s="14" t="s">
        <x:v>1232</x:v>
      </x:c>
      <x:c r="G4" s="14" t="s">
        <x:v>1233</x:v>
      </x:c>
      <x:c r="H4" s="14" t="s">
        <x:v>1234</x:v>
      </x:c>
      <x:c r="I4" s="14" t="s">
        <x:v>1235</x:v>
      </x:c>
      <x:c r="J4" s="14" t="s">
        <x:v>1236</x:v>
      </x:c>
      <x:c r="K4" s="14" t="s">
        <x:v>1237</x:v>
      </x:c>
      <x:c r="L4" s="14" t="s">
        <x:v>1238</x:v>
      </x:c>
      <x:c r="M4" s="14" t="s">
        <x:v>1239</x:v>
      </x:c>
      <x:c r="N4" s="14" t="s">
        <x:v>1240</x:v>
      </x:c>
      <x:c r="O4" s="21" t="s">
        <x:v>292</x:v>
      </x:c>
    </x:row>
    <x:row r="5" ht="38" hidden="0" customHeight="1">
      <x:c r="A5" s="7" t="s">
        <x:v>1214</x:v>
      </x:c>
      <x:c r="B5" s="7" t="s">
        <x:v>384</x:v>
      </x:c>
      <x:c r="C5" s="7" t="s">
        <x:v>1211</x:v>
      </x:c>
      <x:c r="D5" s="7" t="s">
        <x:v>1241</x:v>
      </x:c>
      <x:c r="E5" s="7" t="s">
        <x:v>1242</x:v>
      </x:c>
      <x:c r="F5" s="8" t="s">
        <x:v>1243</x:v>
      </x:c>
      <x:c r="G5" s="8" t="s">
        <x:v>1244</x:v>
      </x:c>
      <x:c r="H5" s="8" t="s">
        <x:v>1245</x:v>
      </x:c>
      <x:c r="I5" s="7" t="s">
        <x:v>1246</x:v>
      </x:c>
      <x:c r="J5" s="7" t="s">
        <x:v>1247</x:v>
      </x:c>
      <x:c r="K5" s="7" t="s">
        <x:v>1107</x:v>
      </x:c>
      <x:c r="L5" s="7" t="s">
        <x:v>1248</x:v>
      </x:c>
      <x:c r="M5" s="8" t="s">
        <x:v>1249</x:v>
      </x:c>
      <x:c r="N5" s="24" t="s">
        <x:v>338</x:v>
      </x:c>
      <x:c r="O5" s="8"/>
    </x:row>
    <x:row r="6" ht="38" hidden="0" customHeight="1">
      <x:c r="A6" s="9" t="s">
        <x:v>1219</x:v>
      </x:c>
      <x:c r="B6" s="9" t="s">
        <x:v>384</x:v>
      </x:c>
      <x:c r="C6" s="9" t="s">
        <x:v>1217</x:v>
      </x:c>
      <x:c r="D6" s="9" t="s">
        <x:v>1241</x:v>
      </x:c>
      <x:c r="E6" s="9" t="s">
        <x:v>1250</x:v>
      </x:c>
      <x:c r="F6" s="10" t="s">
        <x:v>1251</x:v>
      </x:c>
      <x:c r="G6" s="10" t="s">
        <x:v>1252</x:v>
      </x:c>
      <x:c r="H6" s="10" t="s">
        <x:v>1253</x:v>
      </x:c>
      <x:c r="I6" s="9" t="s">
        <x:v>1254</x:v>
      </x:c>
      <x:c r="J6" s="9" t="s">
        <x:v>1255</x:v>
      </x:c>
      <x:c r="K6" s="9" t="s">
        <x:v>1107</x:v>
      </x:c>
      <x:c r="L6" s="9" t="s">
        <x:v>1256</x:v>
      </x:c>
      <x:c r="M6" s="10" t="s">
        <x:v>1257</x:v>
      </x:c>
      <x:c r="N6" s="25" t="s">
        <x:v>338</x:v>
      </x:c>
      <x:c r="O6" s="10"/>
    </x:row>
    <x:row r="7" ht="38" hidden="0" customHeight="1">
      <x:c r="A7" s="9" t="s">
        <x:v>1223</x:v>
      </x:c>
      <x:c r="B7" s="9" t="s">
        <x:v>384</x:v>
      </x:c>
      <x:c r="C7" s="9" t="s">
        <x:v>1221</x:v>
      </x:c>
      <x:c r="D7" s="9" t="s">
        <x:v>1241</x:v>
      </x:c>
      <x:c r="E7" s="9" t="s">
        <x:v>1258</x:v>
      </x:c>
      <x:c r="F7" s="9" t="s">
        <x:v>1259</x:v>
      </x:c>
      <x:c r="G7" s="10" t="s">
        <x:v>1260</x:v>
      </x:c>
      <x:c r="H7" s="10" t="s">
        <x:v>1261</x:v>
      </x:c>
      <x:c r="I7" s="9" t="s">
        <x:v>1262</x:v>
      </x:c>
      <x:c r="J7" s="9" t="s">
        <x:v>1263</x:v>
      </x:c>
      <x:c r="K7" s="9" t="s">
        <x:v>1107</x:v>
      </x:c>
      <x:c r="L7" s="9" t="s">
        <x:v>1264</x:v>
      </x:c>
      <x:c r="M7" s="10" t="s">
        <x:v>1265</x:v>
      </x:c>
      <x:c r="N7" s="25" t="s">
        <x:v>338</x:v>
      </x:c>
      <x:c r="O7" s="10"/>
    </x:row>
    <x:row r="8" ht="38" hidden="0" customHeight="1">
      <x:c r="A8" s="9" t="s">
        <x:v>1266</x:v>
      </x:c>
      <x:c r="B8" s="9" t="s">
        <x:v>47</x:v>
      </x:c>
      <x:c r="C8" s="9" t="s">
        <x:v>1092</x:v>
      </x:c>
      <x:c r="D8" s="9" t="s">
        <x:v>1267</x:v>
      </x:c>
      <x:c r="E8" s="9" t="s">
        <x:v>1268</x:v>
      </x:c>
      <x:c r="F8" s="10" t="s">
        <x:v>1269</x:v>
      </x:c>
      <x:c r="G8" s="10" t="s">
        <x:v>1270</x:v>
      </x:c>
      <x:c r="H8" s="9" t="s">
        <x:v>1271</x:v>
      </x:c>
      <x:c r="I8" s="9" t="s">
        <x:v>1272</x:v>
      </x:c>
      <x:c r="J8" s="9" t="s">
        <x:v>1273</x:v>
      </x:c>
      <x:c r="K8" s="9" t="s">
        <x:v>1099</x:v>
      </x:c>
      <x:c r="L8" s="9" t="s">
        <x:v>1274</x:v>
      </x:c>
      <x:c r="M8" s="10" t="s">
        <x:v>1275</x:v>
      </x:c>
      <x:c r="N8" s="25" t="s">
        <x:v>316</x:v>
      </x:c>
      <x:c r="O8" s="9" t="s">
        <x:v>1276</x:v>
      </x:c>
    </x:row>
    <x:row r="9" ht="38" hidden="0" customHeight="1">
      <x:c r="A9" s="9" t="s">
        <x:v>1277</x:v>
      </x:c>
      <x:c r="B9" s="9" t="s">
        <x:v>47</x:v>
      </x:c>
      <x:c r="C9" s="9" t="s">
        <x:v>1092</x:v>
      </x:c>
      <x:c r="D9" s="9" t="s">
        <x:v>617</x:v>
      </x:c>
      <x:c r="E9" s="9" t="s">
        <x:v>1278</x:v>
      </x:c>
      <x:c r="F9" s="10" t="s">
        <x:v>1279</x:v>
      </x:c>
      <x:c r="G9" s="10" t="s">
        <x:v>1280</x:v>
      </x:c>
      <x:c r="H9" s="9" t="s">
        <x:v>1281</x:v>
      </x:c>
      <x:c r="I9" s="9" t="s">
        <x:v>1282</x:v>
      </x:c>
      <x:c r="J9" s="9" t="s">
        <x:v>1273</x:v>
      </x:c>
      <x:c r="K9" s="9" t="s">
        <x:v>1099</x:v>
      </x:c>
      <x:c r="L9" s="9" t="s">
        <x:v>1283</x:v>
      </x:c>
      <x:c r="M9" s="10" t="s">
        <x:v>1275</x:v>
      </x:c>
      <x:c r="N9" s="25" t="s">
        <x:v>316</x:v>
      </x:c>
      <x:c r="O9" s="9" t="s">
        <x:v>1276</x:v>
      </x:c>
    </x:row>
    <x:row r="10" ht="38" hidden="0" customHeight="1">
      <x:c r="A10" s="9" t="s">
        <x:v>357</x:v>
      </x:c>
      <x:c r="B10" s="9" t="s">
        <x:v>47</x:v>
      </x:c>
      <x:c r="C10" s="9" t="s">
        <x:v>1092</x:v>
      </x:c>
      <x:c r="D10" s="9" t="s">
        <x:v>1175</x:v>
      </x:c>
      <x:c r="E10" s="9" t="s">
        <x:v>1284</x:v>
      </x:c>
      <x:c r="F10" s="10" t="s">
        <x:v>1285</x:v>
      </x:c>
      <x:c r="G10" s="10" t="s">
        <x:v>1286</x:v>
      </x:c>
      <x:c r="H10" s="10" t="s">
        <x:v>1287</x:v>
      </x:c>
      <x:c r="I10" s="9" t="s">
        <x:v>1288</x:v>
      </x:c>
      <x:c r="J10" s="9" t="s">
        <x:v>1289</x:v>
      </x:c>
      <x:c r="K10" s="9" t="s">
        <x:v>1290</x:v>
      </x:c>
      <x:c r="L10" s="10" t="s">
        <x:v>1291</x:v>
      </x:c>
      <x:c r="M10" s="10" t="s">
        <x:v>1275</x:v>
      </x:c>
      <x:c r="N10" s="25" t="s">
        <x:v>316</x:v>
      </x:c>
      <x:c r="O10" s="9" t="s">
        <x:v>1292</x:v>
      </x:c>
    </x:row>
    <x:row r="11" ht="38" hidden="0" customHeight="1">
      <x:c r="A11" s="9" t="s">
        <x:v>377</x:v>
      </x:c>
      <x:c r="B11" s="9" t="s">
        <x:v>47</x:v>
      </x:c>
      <x:c r="C11" s="9" t="s">
        <x:v>1101</x:v>
      </x:c>
      <x:c r="D11" s="9" t="s">
        <x:v>1293</x:v>
      </x:c>
      <x:c r="E11" s="9" t="s">
        <x:v>1294</x:v>
      </x:c>
      <x:c r="F11" s="10" t="s">
        <x:v>1295</x:v>
      </x:c>
      <x:c r="G11" s="10" t="s">
        <x:v>1296</x:v>
      </x:c>
      <x:c r="H11" s="9" t="s">
        <x:v>1297</x:v>
      </x:c>
      <x:c r="I11" s="9" t="s">
        <x:v>1298</x:v>
      </x:c>
      <x:c r="J11" s="9" t="s">
        <x:v>1299</x:v>
      </x:c>
      <x:c r="K11" s="9" t="s">
        <x:v>1107</x:v>
      </x:c>
      <x:c r="L11" s="9" t="s">
        <x:v>1300</x:v>
      </x:c>
      <x:c r="M11" s="10" t="s">
        <x:v>1275</x:v>
      </x:c>
      <x:c r="N11" s="25" t="s">
        <x:v>316</x:v>
      </x:c>
      <x:c r="O11" s="9" t="s">
        <x:v>362</x:v>
      </x:c>
    </x:row>
    <x:row r="12" ht="38" hidden="0" customHeight="1">
      <x:c r="A12" s="9" t="s">
        <x:v>1301</x:v>
      </x:c>
      <x:c r="B12" s="9" t="s">
        <x:v>1302</x:v>
      </x:c>
      <x:c r="C12" s="9" t="s">
        <x:v>1092</x:v>
      </x:c>
      <x:c r="D12" s="9" t="s">
        <x:v>617</x:v>
      </x:c>
      <x:c r="E12" s="9" t="s">
        <x:v>1303</x:v>
      </x:c>
      <x:c r="F12" s="10" t="s">
        <x:v>1304</x:v>
      </x:c>
      <x:c r="G12" s="10" t="s">
        <x:v>1305</x:v>
      </x:c>
      <x:c r="H12" s="9" t="s">
        <x:v>1306</x:v>
      </x:c>
      <x:c r="I12" s="9" t="s">
        <x:v>1282</x:v>
      </x:c>
      <x:c r="J12" s="9" t="s">
        <x:v>1273</x:v>
      </x:c>
      <x:c r="K12" s="9" t="s">
        <x:v>1099</x:v>
      </x:c>
      <x:c r="L12" s="9" t="s">
        <x:v>1283</x:v>
      </x:c>
      <x:c r="M12" s="10" t="s">
        <x:v>1275</x:v>
      </x:c>
      <x:c r="N12" s="25" t="s">
        <x:v>316</x:v>
      </x:c>
      <x:c r="O12" s="9" t="s">
        <x:v>342</x:v>
      </x:c>
    </x:row>
    <x:row r="13" ht="38" hidden="0" customHeight="1">
      <x:c r="A13" s="9" t="s">
        <x:v>1181</x:v>
      </x:c>
      <x:c r="B13" s="9" t="s">
        <x:v>49</x:v>
      </x:c>
      <x:c r="C13" s="9" t="s">
        <x:v>1307</x:v>
      </x:c>
      <x:c r="D13" s="9" t="s">
        <x:v>323</x:v>
      </x:c>
      <x:c r="E13" s="9" t="s">
        <x:v>1308</x:v>
      </x:c>
      <x:c r="F13" s="10" t="s">
        <x:v>1309</x:v>
      </x:c>
      <x:c r="G13" s="10" t="s">
        <x:v>1310</x:v>
      </x:c>
      <x:c r="H13" s="10" t="s">
        <x:v>1311</x:v>
      </x:c>
      <x:c r="I13" s="9" t="s">
        <x:v>1312</x:v>
      </x:c>
      <x:c r="J13" s="9" t="s">
        <x:v>336</x:v>
      </x:c>
      <x:c r="K13" s="9" t="str">
        <x:v>PASS_INDEPENDENT_REVIEW</x:v>
      </x:c>
      <x:c r="L13" s="10" t="str">
        <x:v>docs/reports/TXWZS_V5_G2_RUNTIME_PACKAGE_INDEPENDENT_REVIEW_001.md；docs/reports/TXWZS_V5_G2_STABLE_ID_BOUNDARY_REPAIR_FRESH_INDEPENDENT_REVIEW_003.md</x:v>
      </x:c>
      <x:c r="M13" s="10" t="s">
        <x:v>1275</x:v>
      </x:c>
      <x:c r="N13" s="25" t="str">
        <x:v>2026-07-31</x:v>
      </x:c>
      <x:c r="O13" s="10" t="str">
        <x:v>V5-G2</x:v>
      </x:c>
    </x:row>
    <x:row r="14" ht="38" hidden="0" customHeight="1">
      <x:c r="A14" s="9" t="s">
        <x:v>879</x:v>
      </x:c>
      <x:c r="B14" s="9" t="s">
        <x:v>54</x:v>
      </x:c>
      <x:c r="C14" s="9" t="s">
        <x:v>1202</x:v>
      </x:c>
      <x:c r="D14" s="9" t="s">
        <x:v>1313</x:v>
      </x:c>
      <x:c r="E14" s="9" t="s">
        <x:v>1314</x:v>
      </x:c>
      <x:c r="F14" s="9" t="s">
        <x:v>1315</x:v>
      </x:c>
      <x:c r="G14" s="10" t="s">
        <x:v>1316</x:v>
      </x:c>
      <x:c r="H14" s="10" t="s">
        <x:v>1317</x:v>
      </x:c>
      <x:c r="I14" s="9" t="s">
        <x:v>1318</x:v>
      </x:c>
      <x:c r="J14" s="9" t="s">
        <x:v>336</x:v>
      </x:c>
      <x:c r="K14" s="9" t="s">
        <x:v>1177</x:v>
      </x:c>
      <x:c r="L14" s="10"/>
      <x:c r="M14" s="10" t="s">
        <x:v>1275</x:v>
      </x:c>
      <x:c r="N14" s="25"/>
      <x:c r="O14" s="10"/>
    </x:row>
    <x:row r="15" ht="38" hidden="0" customHeight="1">
      <x:c r="A15" s="9" t="s">
        <x:v>418</x:v>
      </x:c>
      <x:c r="B15" s="9" t="s">
        <x:v>49</x:v>
      </x:c>
      <x:c r="C15" s="10"/>
      <x:c r="D15" s="9" t="s">
        <x:v>1319</x:v>
      </x:c>
      <x:c r="E15" s="9" t="s">
        <x:v>408</x:v>
      </x:c>
      <x:c r="F15" s="9" t="s">
        <x:v>415</x:v>
      </x:c>
      <x:c r="G15" s="10" t="s">
        <x:v>417</x:v>
      </x:c>
      <x:c r="H15" s="9" t="s">
        <x:v>416</x:v>
      </x:c>
      <x:c r="I15" s="19" t="s">
        <x:v>1320</x:v>
      </x:c>
      <x:c r="J15" s="9" t="s">
        <x:v>1321</x:v>
      </x:c>
      <x:c r="K15" s="9" t="str">
        <x:v>PASS_INDEPENDENT_REVIEW</x:v>
      </x:c>
      <x:c r="L15" s="19" t="str">
        <x:v>docs/reports/TXWZS_V5_P0_P1_PACKAGE_INDEPENDENT_REVIEW_002.md；/tmp/txwzs-v5-g0-review-002.BlGA2l</x:v>
      </x:c>
      <x:c r="M15" s="9" t="s">
        <x:v>314</x:v>
      </x:c>
      <x:c r="N15" s="25" t="str">
        <x:v>2026-07-30</x:v>
      </x:c>
      <x:c r="O15" s="9" t="s">
        <x:v>422</x:v>
      </x:c>
    </x:row>
    <x:row r="16" ht="38" hidden="0" customHeight="1">
      <x:c r="A16" s="9" t="s">
        <x:v>430</x:v>
      </x:c>
      <x:c r="B16" s="9" t="s">
        <x:v>49</x:v>
      </x:c>
      <x:c r="C16" s="9" t="s">
        <x:v>1108</x:v>
      </x:c>
      <x:c r="D16" s="9" t="s">
        <x:v>1319</x:v>
      </x:c>
      <x:c r="E16" s="9" t="s">
        <x:v>425</x:v>
      </x:c>
      <x:c r="F16" s="9" t="s">
        <x:v>428</x:v>
      </x:c>
      <x:c r="G16" s="10" t="s">
        <x:v>417</x:v>
      </x:c>
      <x:c r="H16" s="10" t="s">
        <x:v>429</x:v>
      </x:c>
      <x:c r="I16" s="19" t="s">
        <x:v>1320</x:v>
      </x:c>
      <x:c r="J16" s="9" t="s">
        <x:v>1321</x:v>
      </x:c>
      <x:c r="K16" s="9" t="str">
        <x:v>PASS_INDEPENDENT_REVIEW</x:v>
      </x:c>
      <x:c r="L16" s="19" t="str">
        <x:v>docs/reports/TXWZS_V5_P0_P1_PACKAGE_INDEPENDENT_REVIEW_002.md；/tmp/txwzs-v5-g0-review-002.BlGA2l</x:v>
      </x:c>
      <x:c r="M16" s="9" t="s">
        <x:v>432</x:v>
      </x:c>
      <x:c r="N16" s="25" t="str">
        <x:v>2026-07-30</x:v>
      </x:c>
      <x:c r="O16" s="9" t="s">
        <x:v>433</x:v>
      </x:c>
    </x:row>
    <x:row r="17" ht="38" hidden="0" customHeight="1">
      <x:c r="A17" s="9" t="s">
        <x:v>439</x:v>
      </x:c>
      <x:c r="B17" s="9" t="s">
        <x:v>49</x:v>
      </x:c>
      <x:c r="C17" s="9" t="s">
        <x:v>1115</x:v>
      </x:c>
      <x:c r="D17" s="9" t="s">
        <x:v>1319</x:v>
      </x:c>
      <x:c r="E17" s="9" t="s">
        <x:v>425</x:v>
      </x:c>
      <x:c r="F17" s="9" t="s">
        <x:v>428</x:v>
      </x:c>
      <x:c r="G17" s="10" t="s">
        <x:v>417</x:v>
      </x:c>
      <x:c r="H17" s="10" t="s">
        <x:v>438</x:v>
      </x:c>
      <x:c r="I17" s="19" t="s">
        <x:v>1320</x:v>
      </x:c>
      <x:c r="J17" s="9" t="s">
        <x:v>1321</x:v>
      </x:c>
      <x:c r="K17" s="9" t="str">
        <x:v>PASS_INDEPENDENT_REVIEW</x:v>
      </x:c>
      <x:c r="L17" s="19" t="str">
        <x:v>docs/reports/TXWZS_V5_P0_P1_PACKAGE_INDEPENDENT_REVIEW_002.md；/tmp/txwzs-v5-g0-review-002.BlGA2l</x:v>
      </x:c>
      <x:c r="M17" s="9" t="s">
        <x:v>314</x:v>
      </x:c>
      <x:c r="N17" s="25" t="str">
        <x:v>2026-07-30</x:v>
      </x:c>
      <x:c r="O17" s="9" t="s">
        <x:v>433</x:v>
      </x:c>
    </x:row>
    <x:row r="18" ht="38" hidden="0" customHeight="1">
      <x:c r="A18" s="9" t="s">
        <x:v>445</x:v>
      </x:c>
      <x:c r="B18" s="9" t="s">
        <x:v>49</x:v>
      </x:c>
      <x:c r="C18" s="10"/>
      <x:c r="D18" s="9" t="s">
        <x:v>1319</x:v>
      </x:c>
      <x:c r="E18" s="9" t="s">
        <x:v>425</x:v>
      </x:c>
      <x:c r="F18" s="9" t="s">
        <x:v>428</x:v>
      </x:c>
      <x:c r="G18" s="10" t="s">
        <x:v>417</x:v>
      </x:c>
      <x:c r="H18" s="10" t="s">
        <x:v>444</x:v>
      </x:c>
      <x:c r="I18" s="19" t="s">
        <x:v>1320</x:v>
      </x:c>
      <x:c r="J18" s="9" t="s">
        <x:v>1321</x:v>
      </x:c>
      <x:c r="K18" s="9" t="str">
        <x:v>PASS_INDEPENDENT_REVIEW</x:v>
      </x:c>
      <x:c r="L18" s="19" t="str">
        <x:v>docs/reports/TXWZS_V5_P0_P1_PACKAGE_INDEPENDENT_REVIEW_002.md；/tmp/txwzs-v5-g0-review-002.BlGA2l</x:v>
      </x:c>
      <x:c r="M18" s="9" t="s">
        <x:v>432</x:v>
      </x:c>
      <x:c r="N18" s="25" t="str">
        <x:v>2026-07-30</x:v>
      </x:c>
      <x:c r="O18" s="9" t="s">
        <x:v>433</x:v>
      </x:c>
    </x:row>
    <x:row r="19" ht="38" hidden="0" customHeight="1">
      <x:c r="A19" s="9" t="s">
        <x:v>451</x:v>
      </x:c>
      <x:c r="B19" s="9" t="s">
        <x:v>49</x:v>
      </x:c>
      <x:c r="C19" s="10"/>
      <x:c r="D19" s="9" t="s">
        <x:v>1319</x:v>
      </x:c>
      <x:c r="E19" s="9" t="s">
        <x:v>387</x:v>
      </x:c>
      <x:c r="F19" s="9" t="s">
        <x:v>428</x:v>
      </x:c>
      <x:c r="G19" s="10" t="s">
        <x:v>417</x:v>
      </x:c>
      <x:c r="H19" s="9" t="s">
        <x:v>450</x:v>
      </x:c>
      <x:c r="I19" s="19" t="s">
        <x:v>1320</x:v>
      </x:c>
      <x:c r="J19" s="9" t="s">
        <x:v>1321</x:v>
      </x:c>
      <x:c r="K19" s="9" t="str">
        <x:v>PASS_INDEPENDENT_REVIEW</x:v>
      </x:c>
      <x:c r="L19" s="19" t="str">
        <x:v>docs/reports/TXWZS_V5_P0_P1_PACKAGE_INDEPENDENT_REVIEW_002.md；/tmp/txwzs-v5-g0-review-002.BlGA2l</x:v>
      </x:c>
      <x:c r="M19" s="9" t="s">
        <x:v>381</x:v>
      </x:c>
      <x:c r="N19" s="25" t="str">
        <x:v>2026-07-30</x:v>
      </x:c>
      <x:c r="O19" s="9" t="s">
        <x:v>433</x:v>
      </x:c>
    </x:row>
    <x:row r="20" ht="38" hidden="0" customHeight="1">
      <x:c r="A20" s="9" t="s">
        <x:v>461</x:v>
      </x:c>
      <x:c r="B20" s="9" t="s">
        <x:v>49</x:v>
      </x:c>
      <x:c r="C20" s="10"/>
      <x:c r="D20" s="9" t="s">
        <x:v>1319</x:v>
      </x:c>
      <x:c r="E20" s="9" t="s">
        <x:v>296</x:v>
      </x:c>
      <x:c r="F20" s="9" t="s">
        <x:v>459</x:v>
      </x:c>
      <x:c r="G20" s="10" t="s">
        <x:v>417</x:v>
      </x:c>
      <x:c r="H20" s="10" t="s">
        <x:v>460</x:v>
      </x:c>
      <x:c r="I20" s="19" t="s">
        <x:v>1322</x:v>
      </x:c>
      <x:c r="J20" s="9" t="s">
        <x:v>1321</x:v>
      </x:c>
      <x:c r="K20" s="9" t="str">
        <x:v>PASS_INDEPENDENT_REVIEW</x:v>
      </x:c>
      <x:c r="L20" s="19" t="str">
        <x:v>docs/reports/TXWZS_V5_P0_P1_PACKAGE_INDEPENDENT_REVIEW_002.md；/tmp/txwzs-v5-g0-review-002.BlGA2l</x:v>
      </x:c>
      <x:c r="M20" s="9" t="s">
        <x:v>381</x:v>
      </x:c>
      <x:c r="N20" s="25" t="str">
        <x:v>2026-07-30</x:v>
      </x:c>
      <x:c r="O20" s="9" t="s">
        <x:v>462</x:v>
      </x:c>
    </x:row>
    <x:row r="21" ht="38" hidden="0" customHeight="1">
      <x:c r="A21" s="9" t="s">
        <x:v>469</x:v>
      </x:c>
      <x:c r="B21" s="9" t="s">
        <x:v>49</x:v>
      </x:c>
      <x:c r="C21" s="9" t="s">
        <x:v>1108</x:v>
      </x:c>
      <x:c r="D21" s="9" t="s">
        <x:v>1319</x:v>
      </x:c>
      <x:c r="E21" s="9" t="s">
        <x:v>296</x:v>
      </x:c>
      <x:c r="F21" s="9" t="s">
        <x:v>459</x:v>
      </x:c>
      <x:c r="G21" s="10" t="s">
        <x:v>417</x:v>
      </x:c>
      <x:c r="H21" s="10" t="s">
        <x:v>468</x:v>
      </x:c>
      <x:c r="I21" s="19" t="s">
        <x:v>1322</x:v>
      </x:c>
      <x:c r="J21" s="9" t="s">
        <x:v>1321</x:v>
      </x:c>
      <x:c r="K21" s="9" t="str">
        <x:v>PASS_INDEPENDENT_REVIEW</x:v>
      </x:c>
      <x:c r="L21" s="19" t="str">
        <x:v>docs/reports/TXWZS_V5_P0_P1_PACKAGE_INDEPENDENT_REVIEW_002.md；/tmp/txwzs-v5-g0-review-002.BlGA2l</x:v>
      </x:c>
      <x:c r="M21" s="9" t="s">
        <x:v>432</x:v>
      </x:c>
      <x:c r="N21" s="25" t="str">
        <x:v>2026-07-30</x:v>
      </x:c>
      <x:c r="O21" s="9" t="s">
        <x:v>462</x:v>
      </x:c>
    </x:row>
    <x:row r="22" ht="38" hidden="0" customHeight="1">
      <x:c r="A22" s="9" t="s">
        <x:v>475</x:v>
      </x:c>
      <x:c r="B22" s="9" t="s">
        <x:v>49</x:v>
      </x:c>
      <x:c r="C22" s="10"/>
      <x:c r="D22" s="9" t="s">
        <x:v>1319</x:v>
      </x:c>
      <x:c r="E22" s="9" t="s">
        <x:v>425</x:v>
      </x:c>
      <x:c r="F22" s="9" t="s">
        <x:v>428</x:v>
      </x:c>
      <x:c r="G22" s="10" t="s">
        <x:v>417</x:v>
      </x:c>
      <x:c r="H22" s="10" t="s">
        <x:v>474</x:v>
      </x:c>
      <x:c r="I22" s="19" t="s">
        <x:v>1322</x:v>
      </x:c>
      <x:c r="J22" s="9" t="s">
        <x:v>1321</x:v>
      </x:c>
      <x:c r="K22" s="9" t="str">
        <x:v>PASS_INDEPENDENT_REVIEW</x:v>
      </x:c>
      <x:c r="L22" s="19" t="str">
        <x:v>docs/reports/TXWZS_V5_P0_P1_PACKAGE_INDEPENDENT_REVIEW_002.md；/tmp/txwzs-v5-g0-review-002.BlGA2l</x:v>
      </x:c>
      <x:c r="M22" s="9" t="s">
        <x:v>314</x:v>
      </x:c>
      <x:c r="N22" s="25" t="str">
        <x:v>2026-07-30</x:v>
      </x:c>
      <x:c r="O22" s="9" t="s">
        <x:v>476</x:v>
      </x:c>
    </x:row>
    <x:row r="23" ht="38" hidden="0" customHeight="1">
      <x:c r="A23" s="9" t="s">
        <x:v>483</x:v>
      </x:c>
      <x:c r="B23" s="9" t="s">
        <x:v>49</x:v>
      </x:c>
      <x:c r="C23" s="10"/>
      <x:c r="D23" s="9" t="s">
        <x:v>1319</x:v>
      </x:c>
      <x:c r="E23" s="9" t="s">
        <x:v>296</x:v>
      </x:c>
      <x:c r="F23" s="9" t="s">
        <x:v>459</x:v>
      </x:c>
      <x:c r="G23" s="10" t="s">
        <x:v>417</x:v>
      </x:c>
      <x:c r="H23" s="10" t="s">
        <x:v>482</x:v>
      </x:c>
      <x:c r="I23" s="19" t="s">
        <x:v>1322</x:v>
      </x:c>
      <x:c r="J23" s="9" t="s">
        <x:v>1321</x:v>
      </x:c>
      <x:c r="K23" s="9" t="str">
        <x:v>PASS_INDEPENDENT_REVIEW</x:v>
      </x:c>
      <x:c r="L23" s="19" t="str">
        <x:v>docs/reports/TXWZS_V5_P0_P1_PACKAGE_INDEPENDENT_REVIEW_002.md；/tmp/txwzs-v5-g0-review-002.BlGA2l</x:v>
      </x:c>
      <x:c r="M23" s="9" t="s">
        <x:v>314</x:v>
      </x:c>
      <x:c r="N23" s="25" t="str">
        <x:v>2026-07-30</x:v>
      </x:c>
      <x:c r="O23" s="9" t="s">
        <x:v>462</x:v>
      </x:c>
    </x:row>
    <x:row r="24" ht="38" hidden="0" customHeight="1">
      <x:c r="A24" s="9" t="s">
        <x:v>491</x:v>
      </x:c>
      <x:c r="B24" s="9" t="s">
        <x:v>49</x:v>
      </x:c>
      <x:c r="C24" s="9" t="s">
        <x:v>1119</x:v>
      </x:c>
      <x:c r="D24" s="9" t="s">
        <x:v>1319</x:v>
      </x:c>
      <x:c r="E24" s="9" t="s">
        <x:v>486</x:v>
      </x:c>
      <x:c r="F24" s="9" t="s">
        <x:v>459</x:v>
      </x:c>
      <x:c r="G24" s="10" t="s">
        <x:v>417</x:v>
      </x:c>
      <x:c r="H24" s="10" t="s">
        <x:v>490</x:v>
      </x:c>
      <x:c r="I24" s="19" t="s">
        <x:v>1322</x:v>
      </x:c>
      <x:c r="J24" s="9" t="s">
        <x:v>1321</x:v>
      </x:c>
      <x:c r="K24" s="9" t="str">
        <x:v>PASS_INDEPENDENT_REVIEW</x:v>
      </x:c>
      <x:c r="L24" s="19" t="str">
        <x:v>docs/reports/TXWZS_V5_P0_P1_PACKAGE_INDEPENDENT_REVIEW_002.md；/tmp/txwzs-v5-g0-review-002.BlGA2l</x:v>
      </x:c>
      <x:c r="M24" s="9" t="s">
        <x:v>314</x:v>
      </x:c>
      <x:c r="N24" s="25" t="str">
        <x:v>2026-07-30</x:v>
      </x:c>
      <x:c r="O24" s="9" t="s">
        <x:v>462</x:v>
      </x:c>
    </x:row>
    <x:row r="25" ht="38" hidden="0" customHeight="1">
      <x:c r="A25" s="9" t="s">
        <x:v>498</x:v>
      </x:c>
      <x:c r="B25" s="9" t="s">
        <x:v>49</x:v>
      </x:c>
      <x:c r="C25" s="10"/>
      <x:c r="D25" s="9" t="s">
        <x:v>1319</x:v>
      </x:c>
      <x:c r="E25" s="9" t="s">
        <x:v>494</x:v>
      </x:c>
      <x:c r="F25" s="9" t="s">
        <x:v>459</x:v>
      </x:c>
      <x:c r="G25" s="10" t="s">
        <x:v>417</x:v>
      </x:c>
      <x:c r="H25" s="10" t="s">
        <x:v>497</x:v>
      </x:c>
      <x:c r="I25" s="19" t="s">
        <x:v>1322</x:v>
      </x:c>
      <x:c r="J25" s="9" t="s">
        <x:v>1321</x:v>
      </x:c>
      <x:c r="K25" s="9" t="str">
        <x:v>PASS_INDEPENDENT_REVIEW</x:v>
      </x:c>
      <x:c r="L25" s="19" t="str">
        <x:v>docs/reports/TXWZS_V5_P0_P1_PACKAGE_INDEPENDENT_REVIEW_002.md；/tmp/txwzs-v5-g0-review-002.BlGA2l</x:v>
      </x:c>
      <x:c r="M25" s="9" t="s">
        <x:v>314</x:v>
      </x:c>
      <x:c r="N25" s="25" t="str">
        <x:v>2026-07-30</x:v>
      </x:c>
      <x:c r="O25" s="9" t="s">
        <x:v>462</x:v>
      </x:c>
    </x:row>
    <x:row r="26" ht="38" hidden="0" customHeight="1">
      <x:c r="A26" s="9" t="s">
        <x:v>507</x:v>
      </x:c>
      <x:c r="B26" s="9" t="s">
        <x:v>49</x:v>
      </x:c>
      <x:c r="C26" s="10"/>
      <x:c r="D26" s="9" t="s">
        <x:v>1319</x:v>
      </x:c>
      <x:c r="E26" s="9" t="s">
        <x:v>425</x:v>
      </x:c>
      <x:c r="F26" s="9" t="s">
        <x:v>428</x:v>
      </x:c>
      <x:c r="G26" s="10" t="s">
        <x:v>417</x:v>
      </x:c>
      <x:c r="H26" s="9" t="s">
        <x:v>506</x:v>
      </x:c>
      <x:c r="I26" s="10" t="str">
        <x:v>static contract validator + current-code ownership audit + applicable Godot regression</x:v>
      </x:c>
      <x:c r="J26" s="9" t="s">
        <x:v>1321</x:v>
      </x:c>
      <x:c r="K26" s="9" t="str">
        <x:v>PASS_INDEPENDENT_REVIEW</x:v>
      </x:c>
      <x:c r="L26" s="10" t="str">
        <x:v>docs/reports/TXWZS_V5_G1_CONTRACT_PACKAGE_INDEPENDENT_REVIEW_001.md；/tmp/txwzs-v5-g1-independent-review-001.MJhd1Y</x:v>
      </x:c>
      <x:c r="M26" s="9" t="s">
        <x:v>314</x:v>
      </x:c>
      <x:c r="N26" s="25" t="str">
        <x:v>2026-07-30</x:v>
      </x:c>
      <x:c r="O26" s="9" t="s">
        <x:v>433</x:v>
      </x:c>
    </x:row>
    <x:row r="27" ht="38" hidden="0" customHeight="1">
      <x:c r="A27" s="9" t="s">
        <x:v>513</x:v>
      </x:c>
      <x:c r="B27" s="9" t="s">
        <x:v>49</x:v>
      </x:c>
      <x:c r="C27" s="10"/>
      <x:c r="D27" s="9" t="s">
        <x:v>1319</x:v>
      </x:c>
      <x:c r="E27" s="9" t="s">
        <x:v>296</x:v>
      </x:c>
      <x:c r="F27" s="9" t="s">
        <x:v>459</x:v>
      </x:c>
      <x:c r="G27" s="10" t="s">
        <x:v>417</x:v>
      </x:c>
      <x:c r="H27" s="10" t="s">
        <x:v>512</x:v>
      </x:c>
      <x:c r="I27" s="10" t="str">
        <x:v>/Applications/Godot.app/Contents/MacOS/Godot --headless --path &lt;repo&gt; -s res://tests/run_v5_training_queue_smoke.gd</x:v>
      </x:c>
      <x:c r="J27" s="9" t="s">
        <x:v>1321</x:v>
      </x:c>
      <x:c r="K27" s="9" t="str">
        <x:v>PASS_INDEPENDENT_REVIEW</x:v>
      </x:c>
      <x:c r="L27" s="10" t="str">
        <x:v>docs/reports/TXWZS_V5_P2_TRAINING_TIME_IMPLEMENTATION_001.md；/tmp/txwzs-v5-g2-full.M4M7T7/all-present-run_v5_training_queue_smoke.log；docs/reports/TXWZS_V5_G2_RUNTIME_PACKAGE_INDEPENDENT_REVIEW_001.md；repair e2c1096f858d571d4621b93174d3848406b42ffa；docs/reports/TXWZS_V5_G2_STABLE_ID_BOUNDARY_REPAIR_FRESH_INDEPENDENT_REVIEW_003.md</x:v>
      </x:c>
      <x:c r="M27" s="9" t="s">
        <x:v>314</x:v>
      </x:c>
      <x:c r="N27" s="25" t="str">
        <x:v>2026-07-31</x:v>
      </x:c>
      <x:c r="O27" s="9" t="s">
        <x:v>462</x:v>
      </x:c>
    </x:row>
    <x:row r="28" ht="38" hidden="0" customHeight="1">
      <x:c r="A28" s="9" t="s">
        <x:v>519</x:v>
      </x:c>
      <x:c r="B28" s="9" t="s">
        <x:v>49</x:v>
      </x:c>
      <x:c r="C28" s="10"/>
      <x:c r="D28" s="9" t="s">
        <x:v>1319</x:v>
      </x:c>
      <x:c r="E28" s="9" t="s">
        <x:v>296</x:v>
      </x:c>
      <x:c r="F28" s="9" t="s">
        <x:v>459</x:v>
      </x:c>
      <x:c r="G28" s="10" t="s">
        <x:v>417</x:v>
      </x:c>
      <x:c r="H28" s="10" t="s">
        <x:v>518</x:v>
      </x:c>
      <x:c r="I28" s="10" t="str">
        <x:v>/Applications/Godot.app/Contents/MacOS/Godot --headless --path &lt;repo&gt; -s res://tests/run_v5_training_queue_smoke.gd</x:v>
      </x:c>
      <x:c r="J28" s="9" t="s">
        <x:v>1321</x:v>
      </x:c>
      <x:c r="K28" s="9" t="str">
        <x:v>PASS_INDEPENDENT_REVIEW</x:v>
      </x:c>
      <x:c r="L28" s="10" t="str">
        <x:v>docs/reports/TXWZS_V5_P2_TRAINING_TIME_IMPLEMENTATION_001.md；/tmp/txwzs-v5-g2-full.M4M7T7/all-present-run_v5_training_queue_smoke.log；docs/reports/TXWZS_V5_G2_RUNTIME_PACKAGE_INDEPENDENT_REVIEW_001.md；repair e2c1096f858d571d4621b93174d3848406b42ffa；docs/reports/TXWZS_V5_G2_STABLE_ID_BOUNDARY_REPAIR_FRESH_INDEPENDENT_REVIEW_003.md</x:v>
      </x:c>
      <x:c r="M28" s="9" t="s">
        <x:v>432</x:v>
      </x:c>
      <x:c r="N28" s="25" t="str">
        <x:v>2026-07-31</x:v>
      </x:c>
      <x:c r="O28" s="9" t="s">
        <x:v>462</x:v>
      </x:c>
    </x:row>
    <x:row r="29" ht="38" hidden="0" customHeight="1">
      <x:c r="A29" s="9" t="s">
        <x:v>525</x:v>
      </x:c>
      <x:c r="B29" s="9" t="s">
        <x:v>49</x:v>
      </x:c>
      <x:c r="C29" s="10"/>
      <x:c r="D29" s="9" t="s">
        <x:v>1319</x:v>
      </x:c>
      <x:c r="E29" s="9" t="s">
        <x:v>425</x:v>
      </x:c>
      <x:c r="F29" s="9" t="s">
        <x:v>428</x:v>
      </x:c>
      <x:c r="G29" s="10" t="s">
        <x:v>417</x:v>
      </x:c>
      <x:c r="H29" s="10" t="s">
        <x:v>524</x:v>
      </x:c>
      <x:c r="I29" s="10" t="str">
        <x:v>static contract validator + current-code ownership audit + applicable Godot regression</x:v>
      </x:c>
      <x:c r="J29" s="9" t="s">
        <x:v>1321</x:v>
      </x:c>
      <x:c r="K29" s="9" t="str">
        <x:v>PASS_INDEPENDENT_REVIEW</x:v>
      </x:c>
      <x:c r="L29" s="10" t="str">
        <x:v>docs/reports/TXWZS_V5_G1_CONTRACT_PACKAGE_INDEPENDENT_REVIEW_001.md；/tmp/txwzs-v5-g1-independent-review-001.MJhd1Y</x:v>
      </x:c>
      <x:c r="M29" s="9" t="s">
        <x:v>314</x:v>
      </x:c>
      <x:c r="N29" s="25" t="str">
        <x:v>2026-07-30</x:v>
      </x:c>
      <x:c r="O29" s="9" t="s">
        <x:v>476</x:v>
      </x:c>
    </x:row>
    <x:row r="30" ht="38" hidden="0" customHeight="1">
      <x:c r="A30" s="9" t="s">
        <x:v>532</x:v>
      </x:c>
      <x:c r="B30" s="9" t="s">
        <x:v>49</x:v>
      </x:c>
      <x:c r="C30" s="10"/>
      <x:c r="D30" s="9" t="s">
        <x:v>1319</x:v>
      </x:c>
      <x:c r="E30" s="9" t="s">
        <x:v>296</x:v>
      </x:c>
      <x:c r="F30" s="9" t="s">
        <x:v>459</x:v>
      </x:c>
      <x:c r="G30" s="10" t="s">
        <x:v>417</x:v>
      </x:c>
      <x:c r="H30" s="10" t="s">
        <x:v>531</x:v>
      </x:c>
      <x:c r="I30" s="10" t="str">
        <x:v>/Applications/Godot.app/Contents/MacOS/Godot --headless --path &lt;repo&gt; -s res://tests/run_v5_training_queue_smoke.gd</x:v>
      </x:c>
      <x:c r="J30" s="9" t="s">
        <x:v>1321</x:v>
      </x:c>
      <x:c r="K30" s="9" t="str">
        <x:v>PASS_INDEPENDENT_REVIEW</x:v>
      </x:c>
      <x:c r="L30" s="10" t="str">
        <x:v>docs/reports/TXWZS_V5_P2_TRAINING_TIME_IMPLEMENTATION_001.md；/tmp/txwzs-v5-g2-full.M4M7T7/all-present-run_v5_training_queue_smoke.log；docs/reports/TXWZS_V5_G2_RUNTIME_PACKAGE_INDEPENDENT_REVIEW_001.md；repair e2c1096f858d571d4621b93174d3848406b42ffa；docs/reports/TXWZS_V5_G2_STABLE_ID_BOUNDARY_REPAIR_FRESH_INDEPENDENT_REVIEW_003.md</x:v>
      </x:c>
      <x:c r="M30" s="9" t="s">
        <x:v>432</x:v>
      </x:c>
      <x:c r="N30" s="25" t="str">
        <x:v>2026-07-31</x:v>
      </x:c>
      <x:c r="O30" s="9" t="s">
        <x:v>462</x:v>
      </x:c>
    </x:row>
    <x:row r="31" ht="38" hidden="0" customHeight="1">
      <x:c r="A31" s="9" t="s">
        <x:v>539</x:v>
      </x:c>
      <x:c r="B31" s="9" t="s">
        <x:v>49</x:v>
      </x:c>
      <x:c r="C31" s="10"/>
      <x:c r="D31" s="9" t="s">
        <x:v>1319</x:v>
      </x:c>
      <x:c r="E31" s="9" t="s">
        <x:v>296</x:v>
      </x:c>
      <x:c r="F31" s="9" t="s">
        <x:v>459</x:v>
      </x:c>
      <x:c r="G31" s="10" t="s">
        <x:v>417</x:v>
      </x:c>
      <x:c r="H31" s="10" t="s">
        <x:v>538</x:v>
      </x:c>
      <x:c r="I31" s="10" t="str">
        <x:v>/Applications/Godot.app/Contents/MacOS/Godot --headless --path &lt;repo&gt; -s res://tests/run_v5_training_queue_smoke.gd</x:v>
      </x:c>
      <x:c r="J31" s="9" t="s">
        <x:v>1321</x:v>
      </x:c>
      <x:c r="K31" s="9" t="str">
        <x:v>PASS_INDEPENDENT_REVIEW</x:v>
      </x:c>
      <x:c r="L31" s="10" t="str">
        <x:v>docs/reports/TXWZS_V5_P2_TRAINING_TIME_IMPLEMENTATION_001.md；/tmp/txwzs-v5-g2-full.M4M7T7/all-present-run_v5_training_queue_smoke.log；docs/reports/TXWZS_V5_G2_RUNTIME_PACKAGE_INDEPENDENT_REVIEW_001.md；repair e2c1096f858d571d4621b93174d3848406b42ffa；docs/reports/TXWZS_V5_G2_STABLE_ID_BOUNDARY_REPAIR_FRESH_INDEPENDENT_REVIEW_003.md</x:v>
      </x:c>
      <x:c r="M31" s="9" t="s">
        <x:v>314</x:v>
      </x:c>
      <x:c r="N31" s="25" t="str">
        <x:v>2026-07-31</x:v>
      </x:c>
      <x:c r="O31" s="9" t="s">
        <x:v>462</x:v>
      </x:c>
    </x:row>
    <x:row r="32" ht="38" hidden="0" customHeight="1">
      <x:c r="A32" s="9" t="s">
        <x:v>546</x:v>
      </x:c>
      <x:c r="B32" s="9" t="s">
        <x:v>49</x:v>
      </x:c>
      <x:c r="C32" s="9" t="s">
        <x:v>1323</x:v>
      </x:c>
      <x:c r="D32" s="9" t="s">
        <x:v>1319</x:v>
      </x:c>
      <x:c r="E32" s="9" t="s">
        <x:v>486</x:v>
      </x:c>
      <x:c r="F32" s="9" t="s">
        <x:v>459</x:v>
      </x:c>
      <x:c r="G32" s="10" t="s">
        <x:v>417</x:v>
      </x:c>
      <x:c r="H32" s="10" t="s">
        <x:v>545</x:v>
      </x:c>
      <x:c r="I32" s="10" t="str">
        <x:v>/Applications/Godot.app/Contents/MacOS/Godot --headless --path &lt;repo&gt; -s res://tests/run_v5_training_queue_smoke.gd</x:v>
      </x:c>
      <x:c r="J32" s="9" t="s">
        <x:v>1321</x:v>
      </x:c>
      <x:c r="K32" s="9" t="str">
        <x:v>PASS_INDEPENDENT_REVIEW</x:v>
      </x:c>
      <x:c r="L32" s="10" t="str">
        <x:v>docs/reports/TXWZS_V5_P2_TRAINING_TIME_IMPLEMENTATION_001.md；/tmp/txwzs-v5-g2-full.M4M7T7/all-present-run_v5_training_queue_smoke.log；docs/reports/TXWZS_V5_G2_RUNTIME_PACKAGE_INDEPENDENT_REVIEW_001.md；repair e2c1096f858d571d4621b93174d3848406b42ffa；docs/reports/TXWZS_V5_G2_STABLE_ID_BOUNDARY_REPAIR_FRESH_INDEPENDENT_REVIEW_003.md</x:v>
      </x:c>
      <x:c r="M32" s="9" t="s">
        <x:v>314</x:v>
      </x:c>
      <x:c r="N32" s="25" t="str">
        <x:v>2026-07-31</x:v>
      </x:c>
      <x:c r="O32" s="9" t="s">
        <x:v>462</x:v>
      </x:c>
    </x:row>
    <x:row r="33" ht="38" hidden="0" customHeight="1">
      <x:c r="A33" s="9" t="s">
        <x:v>554</x:v>
      </x:c>
      <x:c r="B33" s="9" t="s">
        <x:v>49</x:v>
      </x:c>
      <x:c r="C33" s="10"/>
      <x:c r="D33" s="9" t="s">
        <x:v>1319</x:v>
      </x:c>
      <x:c r="E33" s="9" t="s">
        <x:v>425</x:v>
      </x:c>
      <x:c r="F33" s="9" t="s">
        <x:v>428</x:v>
      </x:c>
      <x:c r="G33" s="10" t="s">
        <x:v>417</x:v>
      </x:c>
      <x:c r="H33" s="10" t="s">
        <x:v>553</x:v>
      </x:c>
      <x:c r="I33" s="10" t="str">
        <x:v>static contract validator + current-code ownership audit + applicable Godot regression</x:v>
      </x:c>
      <x:c r="J33" s="9" t="s">
        <x:v>1321</x:v>
      </x:c>
      <x:c r="K33" s="9" t="str">
        <x:v>PASS_INDEPENDENT_REVIEW</x:v>
      </x:c>
      <x:c r="L33" s="10" t="str">
        <x:v>docs/reports/TXWZS_V5_G1_CONTRACT_PACKAGE_INDEPENDENT_REVIEW_001.md；/tmp/txwzs-v5-g1-independent-review-001.MJhd1Y</x:v>
      </x:c>
      <x:c r="M33" s="9" t="s">
        <x:v>432</x:v>
      </x:c>
      <x:c r="N33" s="25" t="str">
        <x:v>2026-07-30</x:v>
      </x:c>
      <x:c r="O33" s="9" t="s">
        <x:v>433</x:v>
      </x:c>
    </x:row>
    <x:row r="34" ht="38" hidden="0" customHeight="1">
      <x:c r="A34" s="9" t="s">
        <x:v>561</x:v>
      </x:c>
      <x:c r="B34" s="9" t="s">
        <x:v>49</x:v>
      </x:c>
      <x:c r="C34" s="10"/>
      <x:c r="D34" s="9" t="s">
        <x:v>1319</x:v>
      </x:c>
      <x:c r="E34" s="9" t="s">
        <x:v>494</x:v>
      </x:c>
      <x:c r="F34" s="9" t="s">
        <x:v>459</x:v>
      </x:c>
      <x:c r="G34" s="10" t="s">
        <x:v>417</x:v>
      </x:c>
      <x:c r="H34" s="10" t="s">
        <x:v>560</x:v>
      </x:c>
      <x:c r="I34" s="10" t="str">
        <x:v>/Applications/Godot.app/Contents/MacOS/Godot --headless --path &lt;repo&gt; -s res://tests/run_v5_army_state_smoke.gd</x:v>
      </x:c>
      <x:c r="J34" s="9" t="s">
        <x:v>1321</x:v>
      </x:c>
      <x:c r="K34" s="9" t="str">
        <x:v>PASS_INDEPENDENT_REVIEW</x:v>
      </x:c>
      <x:c r="L34" s="10" t="str">
        <x:v>docs/reports/TXWZS_V5_P3_ARMY_STATE_IMPLEMENTATION_001.md；/tmp/txwzs-v5-g2-full.M4M7T7/all-present-run_v5_army_state_smoke.log；docs/reports/TXWZS_V5_G2_RUNTIME_PACKAGE_INDEPENDENT_REVIEW_001.md；repair e2c1096f858d571d4621b93174d3848406b42ffa；docs/reports/TXWZS_V5_G2_STABLE_ID_BOUNDARY_REPAIR_FRESH_INDEPENDENT_REVIEW_003.md</x:v>
      </x:c>
      <x:c r="M34" s="9" t="s">
        <x:v>432</x:v>
      </x:c>
      <x:c r="N34" s="25" t="str">
        <x:v>2026-07-31</x:v>
      </x:c>
      <x:c r="O34" s="9" t="s">
        <x:v>462</x:v>
      </x:c>
    </x:row>
    <x:row r="35" ht="38" hidden="0" customHeight="1">
      <x:c r="A35" s="9" t="s">
        <x:v>567</x:v>
      </x:c>
      <x:c r="B35" s="9" t="s">
        <x:v>49</x:v>
      </x:c>
      <x:c r="C35" s="10"/>
      <x:c r="D35" s="9" t="s">
        <x:v>1319</x:v>
      </x:c>
      <x:c r="E35" s="9" t="s">
        <x:v>296</x:v>
      </x:c>
      <x:c r="F35" s="9" t="s">
        <x:v>459</x:v>
      </x:c>
      <x:c r="G35" s="10" t="s">
        <x:v>417</x:v>
      </x:c>
      <x:c r="H35" s="9" t="s">
        <x:v>566</x:v>
      </x:c>
      <x:c r="I35" s="10" t="str">
        <x:v>/Applications/Godot.app/Contents/MacOS/Godot --headless --path &lt;repo&gt; -s res://tests/run_v5_army_state_smoke.gd</x:v>
      </x:c>
      <x:c r="J35" s="9" t="s">
        <x:v>1321</x:v>
      </x:c>
      <x:c r="K35" s="9" t="str">
        <x:v>PASS_INDEPENDENT_REVIEW</x:v>
      </x:c>
      <x:c r="L35" s="10" t="str">
        <x:v>docs/reports/TXWZS_V5_P3_ARMY_STATE_IMPLEMENTATION_001.md；/tmp/txwzs-v5-g2-full.M4M7T7/all-present-run_v5_army_state_smoke.log；docs/reports/TXWZS_V5_G2_RUNTIME_PACKAGE_INDEPENDENT_REVIEW_001.md；repair e2c1096f858d571d4621b93174d3848406b42ffa；docs/reports/TXWZS_V5_G2_STABLE_ID_BOUNDARY_REPAIR_FRESH_INDEPENDENT_REVIEW_003.md</x:v>
      </x:c>
      <x:c r="M35" s="9" t="s">
        <x:v>432</x:v>
      </x:c>
      <x:c r="N35" s="25" t="str">
        <x:v>2026-07-31</x:v>
      </x:c>
      <x:c r="O35" s="9" t="s">
        <x:v>462</x:v>
      </x:c>
    </x:row>
    <x:row r="36" ht="38" hidden="0" customHeight="1">
      <x:c r="A36" s="9" t="s">
        <x:v>573</x:v>
      </x:c>
      <x:c r="B36" s="9" t="s">
        <x:v>49</x:v>
      </x:c>
      <x:c r="C36" s="10"/>
      <x:c r="D36" s="9" t="s">
        <x:v>1319</x:v>
      </x:c>
      <x:c r="E36" s="9" t="s">
        <x:v>296</x:v>
      </x:c>
      <x:c r="F36" s="9" t="s">
        <x:v>459</x:v>
      </x:c>
      <x:c r="G36" s="10" t="s">
        <x:v>417</x:v>
      </x:c>
      <x:c r="H36" s="9" t="s">
        <x:v>572</x:v>
      </x:c>
      <x:c r="I36" s="10" t="str">
        <x:v>/Applications/Godot.app/Contents/MacOS/Godot --headless --path &lt;repo&gt; -s res://tests/run_v5_army_state_smoke.gd</x:v>
      </x:c>
      <x:c r="J36" s="9" t="s">
        <x:v>1321</x:v>
      </x:c>
      <x:c r="K36" s="9" t="str">
        <x:v>PASS_INDEPENDENT_REVIEW</x:v>
      </x:c>
      <x:c r="L36" s="10" t="str">
        <x:v>docs/reports/TXWZS_V5_P3_ARMY_STATE_IMPLEMENTATION_001.md；/tmp/txwzs-v5-g2-full.M4M7T7/all-present-run_v5_army_state_smoke.log；docs/reports/TXWZS_V5_G2_RUNTIME_PACKAGE_INDEPENDENT_REVIEW_001.md；repair e2c1096f858d571d4621b93174d3848406b42ffa；docs/reports/TXWZS_V5_G2_STABLE_ID_BOUNDARY_REPAIR_FRESH_INDEPENDENT_REVIEW_003.md</x:v>
      </x:c>
      <x:c r="M36" s="9" t="s">
        <x:v>314</x:v>
      </x:c>
      <x:c r="N36" s="25" t="str">
        <x:v>2026-07-31</x:v>
      </x:c>
      <x:c r="O36" s="9" t="s">
        <x:v>462</x:v>
      </x:c>
    </x:row>
    <x:row r="37" ht="38" hidden="0" customHeight="1">
      <x:c r="A37" s="9" t="s">
        <x:v>579</x:v>
      </x:c>
      <x:c r="B37" s="9" t="s">
        <x:v>49</x:v>
      </x:c>
      <x:c r="C37" s="10"/>
      <x:c r="D37" s="9" t="s">
        <x:v>1319</x:v>
      </x:c>
      <x:c r="E37" s="9" t="s">
        <x:v>296</x:v>
      </x:c>
      <x:c r="F37" s="9" t="s">
        <x:v>459</x:v>
      </x:c>
      <x:c r="G37" s="10" t="s">
        <x:v>417</x:v>
      </x:c>
      <x:c r="H37" s="9" t="s">
        <x:v>578</x:v>
      </x:c>
      <x:c r="I37" s="10" t="str">
        <x:v>/Applications/Godot.app/Contents/MacOS/Godot --headless --path &lt;repo&gt; -s res://tests/run_v5_army_state_smoke.gd</x:v>
      </x:c>
      <x:c r="J37" s="9" t="s">
        <x:v>1321</x:v>
      </x:c>
      <x:c r="K37" s="9" t="str">
        <x:v>PASS_INDEPENDENT_REVIEW</x:v>
      </x:c>
      <x:c r="L37" s="10" t="str">
        <x:v>docs/reports/TXWZS_V5_P3_ARMY_STATE_IMPLEMENTATION_001.md；/tmp/txwzs-v5-g2-full.M4M7T7/all-present-run_v5_army_state_smoke.log；docs/reports/TXWZS_V5_G2_RUNTIME_PACKAGE_INDEPENDENT_REVIEW_001.md；repair e2c1096f858d571d4621b93174d3848406b42ffa；docs/reports/TXWZS_V5_G2_STABLE_ID_BOUNDARY_REPAIR_FRESH_INDEPENDENT_REVIEW_003.md</x:v>
      </x:c>
      <x:c r="M37" s="9" t="s">
        <x:v>432</x:v>
      </x:c>
      <x:c r="N37" s="25" t="str">
        <x:v>2026-07-31</x:v>
      </x:c>
      <x:c r="O37" s="9" t="s">
        <x:v>462</x:v>
      </x:c>
    </x:row>
    <x:row r="38" ht="38" hidden="0" customHeight="1">
      <x:c r="A38" s="9" t="s">
        <x:v>586</x:v>
      </x:c>
      <x:c r="B38" s="9" t="s">
        <x:v>49</x:v>
      </x:c>
      <x:c r="C38" s="9" t="s">
        <x:v>1324</x:v>
      </x:c>
      <x:c r="D38" s="9" t="s">
        <x:v>1319</x:v>
      </x:c>
      <x:c r="E38" s="9" t="s">
        <x:v>486</x:v>
      </x:c>
      <x:c r="F38" s="9" t="s">
        <x:v>459</x:v>
      </x:c>
      <x:c r="G38" s="10" t="s">
        <x:v>417</x:v>
      </x:c>
      <x:c r="H38" s="9" t="s">
        <x:v>585</x:v>
      </x:c>
      <x:c r="I38" s="10" t="str">
        <x:v>/Applications/Godot.app/Contents/MacOS/Godot --headless --path &lt;repo&gt; -s res://tests/run_v5_army_state_smoke.gd</x:v>
      </x:c>
      <x:c r="J38" s="9" t="s">
        <x:v>1321</x:v>
      </x:c>
      <x:c r="K38" s="9" t="str">
        <x:v>PASS_INDEPENDENT_REVIEW</x:v>
      </x:c>
      <x:c r="L38" s="10" t="str">
        <x:v>docs/reports/TXWZS_V5_P3_ARMY_STATE_IMPLEMENTATION_001.md；/tmp/txwzs-v5-g2-full.M4M7T7/all-present-run_v5_army_state_smoke.log；docs/reports/TXWZS_V5_G2_RUNTIME_PACKAGE_INDEPENDENT_REVIEW_001.md；repair e2c1096f858d571d4621b93174d3848406b42ffa；docs/reports/TXWZS_V5_G2_STABLE_ID_BOUNDARY_REPAIR_FRESH_INDEPENDENT_REVIEW_003.md</x:v>
      </x:c>
      <x:c r="M38" s="9" t="s">
        <x:v>432</x:v>
      </x:c>
      <x:c r="N38" s="25" t="str">
        <x:v>2026-07-31</x:v>
      </x:c>
      <x:c r="O38" s="9" t="s">
        <x:v>462</x:v>
      </x:c>
    </x:row>
    <x:row r="39" ht="38" hidden="0" customHeight="1">
      <x:c r="A39" s="9" t="s">
        <x:v>594</x:v>
      </x:c>
      <x:c r="B39" s="9" t="s">
        <x:v>49</x:v>
      </x:c>
      <x:c r="C39" s="10"/>
      <x:c r="D39" s="9" t="s">
        <x:v>1319</x:v>
      </x:c>
      <x:c r="E39" s="9" t="s">
        <x:v>425</x:v>
      </x:c>
      <x:c r="F39" s="9" t="s">
        <x:v>428</x:v>
      </x:c>
      <x:c r="G39" s="10" t="s">
        <x:v>417</x:v>
      </x:c>
      <x:c r="H39" s="9" t="s">
        <x:v>593</x:v>
      </x:c>
      <x:c r="I39" s="10" t="str">
        <x:v>static contract validator + current-code ownership audit + applicable Godot regression</x:v>
      </x:c>
      <x:c r="J39" s="9" t="s">
        <x:v>1321</x:v>
      </x:c>
      <x:c r="K39" s="9" t="str">
        <x:v>PASS_INDEPENDENT_REVIEW</x:v>
      </x:c>
      <x:c r="L39" s="10" t="str">
        <x:v>docs/reports/TXWZS_V5_G1_CONTRACT_PACKAGE_INDEPENDENT_REVIEW_001.md；/tmp/txwzs-v5-g1-independent-review-001.MJhd1Y</x:v>
      </x:c>
      <x:c r="M39" s="9" t="s">
        <x:v>314</x:v>
      </x:c>
      <x:c r="N39" s="25" t="str">
        <x:v>2026-07-30</x:v>
      </x:c>
      <x:c r="O39" s="9" t="s">
        <x:v>433</x:v>
      </x:c>
    </x:row>
    <x:row r="40" ht="38" hidden="0" customHeight="1">
      <x:c r="A40" s="9" t="s">
        <x:v>601</x:v>
      </x:c>
      <x:c r="B40" s="9" t="s">
        <x:v>49</x:v>
      </x:c>
      <x:c r="C40" s="10"/>
      <x:c r="D40" s="9" t="s">
        <x:v>1319</x:v>
      </x:c>
      <x:c r="E40" s="9" t="s">
        <x:v>296</x:v>
      </x:c>
      <x:c r="F40" s="9" t="s">
        <x:v>459</x:v>
      </x:c>
      <x:c r="G40" s="10" t="s">
        <x:v>417</x:v>
      </x:c>
      <x:c r="H40" s="10" t="s">
        <x:v>600</x:v>
      </x:c>
      <x:c r="I40" s="10" t="str">
        <x:v>/Applications/Godot.app/Contents/MacOS/Godot --headless --path &lt;repo&gt; -s res://tests/run_v5_encounter_writeback_smoke.gd</x:v>
      </x:c>
      <x:c r="J40" s="9" t="s">
        <x:v>1321</x:v>
      </x:c>
      <x:c r="K40" s="9" t="str">
        <x:v>PASS_INDEPENDENT_REVIEW</x:v>
      </x:c>
      <x:c r="L40" s="10" t="str">
        <x:v>docs/reports/TXWZS_V5_P4_ENCOUNTER_WRITEBACK_IMPLEMENTATION_001.md；/tmp/txwzs-v5-g2-full.M4M7T7/all-present-run_v5_encounter_writeback_smoke.log；docs/reports/TXWZS_V5_G2_RUNTIME_PACKAGE_INDEPENDENT_REVIEW_001.md；repair e2c1096f858d571d4621b93174d3848406b42ffa；docs/reports/TXWZS_V5_G2_STABLE_ID_BOUNDARY_REPAIR_FRESH_INDEPENDENT_REVIEW_003.md</x:v>
      </x:c>
      <x:c r="M40" s="9" t="s">
        <x:v>432</x:v>
      </x:c>
      <x:c r="N40" s="25" t="str">
        <x:v>2026-07-31</x:v>
      </x:c>
      <x:c r="O40" s="9" t="s">
        <x:v>462</x:v>
      </x:c>
    </x:row>
    <x:row r="41" ht="38" hidden="0" customHeight="1">
      <x:c r="A41" s="9" t="s">
        <x:v>607</x:v>
      </x:c>
      <x:c r="B41" s="9" t="s">
        <x:v>49</x:v>
      </x:c>
      <x:c r="C41" s="10"/>
      <x:c r="D41" s="9" t="s">
        <x:v>1319</x:v>
      </x:c>
      <x:c r="E41" s="9" t="s">
        <x:v>296</x:v>
      </x:c>
      <x:c r="F41" s="9" t="s">
        <x:v>459</x:v>
      </x:c>
      <x:c r="G41" s="10" t="s">
        <x:v>417</x:v>
      </x:c>
      <x:c r="H41" s="10" t="s">
        <x:v>606</x:v>
      </x:c>
      <x:c r="I41" s="10" t="str">
        <x:v>/Applications/Godot.app/Contents/MacOS/Godot --headless --path &lt;repo&gt; -s res://tests/run_v5_encounter_writeback_smoke.gd</x:v>
      </x:c>
      <x:c r="J41" s="9" t="s">
        <x:v>1321</x:v>
      </x:c>
      <x:c r="K41" s="9" t="str">
        <x:v>PASS_INDEPENDENT_REVIEW</x:v>
      </x:c>
      <x:c r="L41" s="10" t="str">
        <x:v>docs/reports/TXWZS_V5_P4_ENCOUNTER_WRITEBACK_IMPLEMENTATION_001.md；/tmp/txwzs-v5-g2-full.M4M7T7/all-present-run_v5_encounter_writeback_smoke.log；docs/reports/TXWZS_V5_G2_RUNTIME_PACKAGE_INDEPENDENT_REVIEW_001.md；repair e2c1096f858d571d4621b93174d3848406b42ffa；docs/reports/TXWZS_V5_G2_STABLE_ID_BOUNDARY_REPAIR_FRESH_INDEPENDENT_REVIEW_003.md</x:v>
      </x:c>
      <x:c r="M41" s="9" t="s">
        <x:v>314</x:v>
      </x:c>
      <x:c r="N41" s="25" t="str">
        <x:v>2026-07-31</x:v>
      </x:c>
      <x:c r="O41" s="9" t="s">
        <x:v>462</x:v>
      </x:c>
    </x:row>
    <x:row r="42" ht="38" hidden="0" customHeight="1">
      <x:c r="A42" s="9" t="s">
        <x:v>614</x:v>
      </x:c>
      <x:c r="B42" s="9" t="s">
        <x:v>49</x:v>
      </x:c>
      <x:c r="C42" s="9" t="s">
        <x:v>1325</x:v>
      </x:c>
      <x:c r="D42" s="9" t="s">
        <x:v>1319</x:v>
      </x:c>
      <x:c r="E42" s="9" t="s">
        <x:v>486</x:v>
      </x:c>
      <x:c r="F42" s="9" t="s">
        <x:v>459</x:v>
      </x:c>
      <x:c r="G42" s="10" t="s">
        <x:v>417</x:v>
      </x:c>
      <x:c r="H42" s="9" t="s">
        <x:v>613</x:v>
      </x:c>
      <x:c r="I42" s="10" t="str">
        <x:v>/Applications/Godot.app/Contents/MacOS/Godot --headless --path &lt;repo&gt; -s res://tests/run_v5_encounter_writeback_smoke.gd</x:v>
      </x:c>
      <x:c r="J42" s="9" t="s">
        <x:v>1321</x:v>
      </x:c>
      <x:c r="K42" s="9" t="str">
        <x:v>PASS_INDEPENDENT_REVIEW</x:v>
      </x:c>
      <x:c r="L42" s="10" t="str">
        <x:v>docs/reports/TXWZS_V5_P4_ENCOUNTER_WRITEBACK_IMPLEMENTATION_001.md；/tmp/txwzs-v5-g2-full.M4M7T7/all-present-run_v5_encounter_writeback_smoke.log；docs/reports/TXWZS_V5_G2_RUNTIME_PACKAGE_INDEPENDENT_REVIEW_001.md；repair e2c1096f858d571d4621b93174d3848406b42ffa；docs/reports/TXWZS_V5_G2_STABLE_ID_BOUNDARY_REPAIR_FRESH_INDEPENDENT_REVIEW_003.md</x:v>
      </x:c>
      <x:c r="M42" s="9" t="s">
        <x:v>432</x:v>
      </x:c>
      <x:c r="N42" s="25" t="str">
        <x:v>2026-07-31</x:v>
      </x:c>
      <x:c r="O42" s="9" t="s">
        <x:v>462</x:v>
      </x:c>
    </x:row>
    <x:row r="43" ht="38" hidden="0" customHeight="1">
      <x:c r="A43" s="9" t="s">
        <x:v>622</x:v>
      </x:c>
      <x:c r="B43" s="9" t="s">
        <x:v>49</x:v>
      </x:c>
      <x:c r="C43" s="10"/>
      <x:c r="D43" s="9" t="s">
        <x:v>1319</x:v>
      </x:c>
      <x:c r="E43" s="9" t="s">
        <x:v>617</x:v>
      </x:c>
      <x:c r="F43" s="9" t="s">
        <x:v>620</x:v>
      </x:c>
      <x:c r="G43" s="10" t="s">
        <x:v>417</x:v>
      </x:c>
      <x:c r="H43" s="10" t="s">
        <x:v>621</x:v>
      </x:c>
      <x:c r="I43" s="10" t="s">
        <x:v>1326</x:v>
      </x:c>
      <x:c r="J43" s="9" t="s">
        <x:v>1321</x:v>
      </x:c>
      <x:c r="K43" s="9" t="s">
        <x:v>1177</x:v>
      </x:c>
      <x:c r="L43" s="10"/>
      <x:c r="M43" s="9" t="s">
        <x:v>314</x:v>
      </x:c>
      <x:c r="N43" s="25"/>
      <x:c r="O43" s="9" t="s">
        <x:v>623</x:v>
      </x:c>
    </x:row>
    <x:row r="44" ht="38" hidden="0" customHeight="1">
      <x:c r="A44" s="9" t="s">
        <x:v>631</x:v>
      </x:c>
      <x:c r="B44" s="9" t="s">
        <x:v>49</x:v>
      </x:c>
      <x:c r="C44" s="10"/>
      <x:c r="D44" s="9" t="s">
        <x:v>1319</x:v>
      </x:c>
      <x:c r="E44" s="9" t="s">
        <x:v>323</x:v>
      </x:c>
      <x:c r="F44" s="9" t="s">
        <x:v>428</x:v>
      </x:c>
      <x:c r="G44" s="10" t="s">
        <x:v>417</x:v>
      </x:c>
      <x:c r="H44" s="9" t="s">
        <x:v>630</x:v>
      </x:c>
      <x:c r="I44" s="10" t="str">
        <x:v>static contract validator + current-code ownership audit + applicable Godot regression</x:v>
      </x:c>
      <x:c r="J44" s="9" t="s">
        <x:v>1321</x:v>
      </x:c>
      <x:c r="K44" s="9" t="str">
        <x:v>PASS_INDEPENDENT_REVIEW</x:v>
      </x:c>
      <x:c r="L44" s="10" t="str">
        <x:v>docs/reports/TXWZS_V5_G1_CONTRACT_PACKAGE_INDEPENDENT_REVIEW_001.md；/tmp/txwzs-v5-g1-independent-review-001.MJhd1Y</x:v>
      </x:c>
      <x:c r="M44" s="9" t="s">
        <x:v>432</x:v>
      </x:c>
      <x:c r="N44" s="25" t="str">
        <x:v>2026-07-30</x:v>
      </x:c>
      <x:c r="O44" s="9" t="s">
        <x:v>433</x:v>
      </x:c>
    </x:row>
    <x:row r="45" ht="38" hidden="0" customHeight="1">
      <x:c r="A45" s="9" t="s">
        <x:v>638</x:v>
      </x:c>
      <x:c r="B45" s="9" t="s">
        <x:v>49</x:v>
      </x:c>
      <x:c r="C45" s="10"/>
      <x:c r="D45" s="9" t="s">
        <x:v>1319</x:v>
      </x:c>
      <x:c r="E45" s="9" t="s">
        <x:v>425</x:v>
      </x:c>
      <x:c r="F45" s="9" t="s">
        <x:v>428</x:v>
      </x:c>
      <x:c r="G45" s="10" t="s">
        <x:v>417</x:v>
      </x:c>
      <x:c r="H45" s="9" t="s">
        <x:v>637</x:v>
      </x:c>
      <x:c r="I45" s="10" t="str">
        <x:v>static contract validator + current-code ownership audit + applicable Godot regression</x:v>
      </x:c>
      <x:c r="J45" s="9" t="s">
        <x:v>1321</x:v>
      </x:c>
      <x:c r="K45" s="9" t="str">
        <x:v>PASS_INDEPENDENT_REVIEW</x:v>
      </x:c>
      <x:c r="L45" s="10" t="str">
        <x:v>docs/reports/TXWZS_V5_G1_CONTRACT_PACKAGE_INDEPENDENT_REVIEW_001.md；/tmp/txwzs-v5-g1-independent-review-001.MJhd1Y</x:v>
      </x:c>
      <x:c r="M45" s="9" t="s">
        <x:v>432</x:v>
      </x:c>
      <x:c r="N45" s="25" t="str">
        <x:v>2026-07-30</x:v>
      </x:c>
      <x:c r="O45" s="9" t="s">
        <x:v>433</x:v>
      </x:c>
    </x:row>
    <x:row r="46" ht="38" hidden="0" customHeight="1">
      <x:c r="A46" s="9" t="s">
        <x:v>644</x:v>
      </x:c>
      <x:c r="B46" s="9" t="s">
        <x:v>49</x:v>
      </x:c>
      <x:c r="C46" s="10"/>
      <x:c r="D46" s="9" t="s">
        <x:v>1319</x:v>
      </x:c>
      <x:c r="E46" s="9" t="s">
        <x:v>296</x:v>
      </x:c>
      <x:c r="F46" s="9" t="s">
        <x:v>459</x:v>
      </x:c>
      <x:c r="G46" s="10" t="s">
        <x:v>417</x:v>
      </x:c>
      <x:c r="H46" s="9" t="s">
        <x:v>643</x:v>
      </x:c>
      <x:c r="I46" s="10" t="str">
        <x:v>/Applications/Godot.app/Contents/MacOS/Godot --headless --path &lt;repo&gt; -s res://tests/run_v5_campaign_persistence_smoke.gd</x:v>
      </x:c>
      <x:c r="J46" s="9" t="s">
        <x:v>1321</x:v>
      </x:c>
      <x:c r="K46" s="9" t="str">
        <x:v>PASS_INDEPENDENT_REVIEW</x:v>
      </x:c>
      <x:c r="L46" s="10" t="str">
        <x:v>docs/reports/TXWZS_V5_P5_CAMPAIGN_PERSISTENCE_IMPLEMENTATION_001.md；/tmp/txwzs-v5-g2-full.M4M7T7/all-present-run_v5_campaign_persistence_smoke.log；docs/reports/TXWZS_V5_G2_RUNTIME_PACKAGE_INDEPENDENT_REVIEW_001.md；repair e2c1096f858d571d4621b93174d3848406b42ffa；docs/reports/TXWZS_V5_G2_STABLE_ID_BOUNDARY_REPAIR_FRESH_INDEPENDENT_REVIEW_003.md</x:v>
      </x:c>
      <x:c r="M46" s="9" t="s">
        <x:v>432</x:v>
      </x:c>
      <x:c r="N46" s="25" t="str">
        <x:v>2026-07-31</x:v>
      </x:c>
      <x:c r="O46" s="9" t="s">
        <x:v>462</x:v>
      </x:c>
    </x:row>
    <x:row r="47" ht="38" hidden="0" customHeight="1">
      <x:c r="A47" s="9" t="s">
        <x:v>651</x:v>
      </x:c>
      <x:c r="B47" s="9" t="s">
        <x:v>49</x:v>
      </x:c>
      <x:c r="C47" s="10"/>
      <x:c r="D47" s="9" t="s">
        <x:v>1319</x:v>
      </x:c>
      <x:c r="E47" s="9" t="s">
        <x:v>296</x:v>
      </x:c>
      <x:c r="F47" s="9" t="s">
        <x:v>459</x:v>
      </x:c>
      <x:c r="G47" s="10" t="s">
        <x:v>417</x:v>
      </x:c>
      <x:c r="H47" s="9" t="s">
        <x:v>650</x:v>
      </x:c>
      <x:c r="I47" s="10" t="str">
        <x:v>/Applications/Godot.app/Contents/MacOS/Godot --headless --path &lt;repo&gt; -s res://tests/run_v5_campaign_persistence_smoke.gd</x:v>
      </x:c>
      <x:c r="J47" s="9" t="s">
        <x:v>1321</x:v>
      </x:c>
      <x:c r="K47" s="9" t="str">
        <x:v>PASS_INDEPENDENT_REVIEW</x:v>
      </x:c>
      <x:c r="L47" s="10" t="str">
        <x:v>docs/reports/TXWZS_V5_P5_CAMPAIGN_PERSISTENCE_IMPLEMENTATION_001.md；/tmp/txwzs-v5-g2-full.M4M7T7/all-present-run_v5_campaign_persistence_smoke.log；docs/reports/TXWZS_V5_G2_RUNTIME_PACKAGE_INDEPENDENT_REVIEW_001.md；repair e2c1096f858d571d4621b93174d3848406b42ffa；docs/reports/TXWZS_V5_G2_STABLE_ID_BOUNDARY_REPAIR_FRESH_INDEPENDENT_REVIEW_003.md</x:v>
      </x:c>
      <x:c r="M47" s="9" t="s">
        <x:v>432</x:v>
      </x:c>
      <x:c r="N47" s="25" t="str">
        <x:v>2026-07-31</x:v>
      </x:c>
      <x:c r="O47" s="9" t="s">
        <x:v>462</x:v>
      </x:c>
    </x:row>
    <x:row r="48" ht="38" hidden="0" customHeight="1">
      <x:c r="A48" s="9" t="s">
        <x:v>657</x:v>
      </x:c>
      <x:c r="B48" s="9" t="s">
        <x:v>49</x:v>
      </x:c>
      <x:c r="C48" s="9" t="s">
        <x:v>1327</x:v>
      </x:c>
      <x:c r="D48" s="9" t="s">
        <x:v>1319</x:v>
      </x:c>
      <x:c r="E48" s="9" t="s">
        <x:v>486</x:v>
      </x:c>
      <x:c r="F48" s="9" t="s">
        <x:v>459</x:v>
      </x:c>
      <x:c r="G48" s="10" t="s">
        <x:v>417</x:v>
      </x:c>
      <x:c r="H48" s="9" t="s">
        <x:v>656</x:v>
      </x:c>
      <x:c r="I48" s="10" t="str">
        <x:v>/Applications/Godot.app/Contents/MacOS/Godot --headless --path &lt;repo&gt; -s res://tests/run_v5_campaign_persistence_smoke.gd</x:v>
      </x:c>
      <x:c r="J48" s="9" t="s">
        <x:v>1321</x:v>
      </x:c>
      <x:c r="K48" s="9" t="str">
        <x:v>PASS_INDEPENDENT_REVIEW</x:v>
      </x:c>
      <x:c r="L48" s="10" t="str">
        <x:v>docs/reports/TXWZS_V5_P5_CAMPAIGN_PERSISTENCE_IMPLEMENTATION_001.md；/tmp/txwzs-v5-g2-full.M4M7T7/all-present-run_v5_campaign_persistence_smoke.log；docs/reports/TXWZS_V5_G2_RUNTIME_PACKAGE_INDEPENDENT_REVIEW_001.md；repair e2c1096f858d571d4621b93174d3848406b42ffa；docs/reports/TXWZS_V5_G2_STABLE_ID_BOUNDARY_REPAIR_FRESH_INDEPENDENT_REVIEW_003.md</x:v>
      </x:c>
      <x:c r="M48" s="9" t="s">
        <x:v>432</x:v>
      </x:c>
      <x:c r="N48" s="25" t="str">
        <x:v>2026-07-31</x:v>
      </x:c>
      <x:c r="O48" s="9" t="s">
        <x:v>462</x:v>
      </x:c>
    </x:row>
    <x:row r="49" ht="38" hidden="0" customHeight="1">
      <x:c r="A49" s="9" t="s">
        <x:v>668</x:v>
      </x:c>
      <x:c r="B49" s="9" t="s">
        <x:v>49</x:v>
      </x:c>
      <x:c r="C49" s="10"/>
      <x:c r="D49" s="9" t="s">
        <x:v>1319</x:v>
      </x:c>
      <x:c r="E49" s="9" t="s">
        <x:v>662</x:v>
      </x:c>
      <x:c r="F49" s="9" t="s">
        <x:v>665</x:v>
      </x:c>
      <x:c r="G49" s="10" t="s">
        <x:v>667</x:v>
      </x:c>
      <x:c r="H49" s="10" t="s">
        <x:v>666</x:v>
      </x:c>
      <x:c r="I49" s="10" t="s">
        <x:v>1326</x:v>
      </x:c>
      <x:c r="J49" s="9" t="s">
        <x:v>1321</x:v>
      </x:c>
      <x:c r="K49" s="9" t="s">
        <x:v>1177</x:v>
      </x:c>
      <x:c r="L49" s="10"/>
      <x:c r="M49" s="9" t="s">
        <x:v>381</x:v>
      </x:c>
      <x:c r="N49" s="25"/>
      <x:c r="O49" s="9" t="s">
        <x:v>669</x:v>
      </x:c>
    </x:row>
    <x:row r="50" ht="38" hidden="0" customHeight="1">
      <x:c r="A50" s="9" t="s">
        <x:v>676</x:v>
      </x:c>
      <x:c r="B50" s="9" t="s">
        <x:v>49</x:v>
      </x:c>
      <x:c r="C50" s="10"/>
      <x:c r="D50" s="9" t="s">
        <x:v>1319</x:v>
      </x:c>
      <x:c r="E50" s="9" t="s">
        <x:v>662</x:v>
      </x:c>
      <x:c r="F50" s="9" t="s">
        <x:v>665</x:v>
      </x:c>
      <x:c r="G50" s="10" t="s">
        <x:v>667</x:v>
      </x:c>
      <x:c r="H50" s="10" t="s">
        <x:v>675</x:v>
      </x:c>
      <x:c r="I50" s="10" t="s">
        <x:v>1326</x:v>
      </x:c>
      <x:c r="J50" s="9" t="s">
        <x:v>1321</x:v>
      </x:c>
      <x:c r="K50" s="9" t="s">
        <x:v>1177</x:v>
      </x:c>
      <x:c r="L50" s="10"/>
      <x:c r="M50" s="9" t="s">
        <x:v>314</x:v>
      </x:c>
      <x:c r="N50" s="25"/>
      <x:c r="O50" s="9" t="s">
        <x:v>669</x:v>
      </x:c>
    </x:row>
    <x:row r="51" ht="38" hidden="0" customHeight="1">
      <x:c r="A51" s="9" t="s">
        <x:v>684</x:v>
      </x:c>
      <x:c r="B51" s="9" t="s">
        <x:v>49</x:v>
      </x:c>
      <x:c r="C51" s="10"/>
      <x:c r="D51" s="9" t="s">
        <x:v>1319</x:v>
      </x:c>
      <x:c r="E51" s="9" t="s">
        <x:v>679</x:v>
      </x:c>
      <x:c r="F51" s="9" t="s">
        <x:v>665</x:v>
      </x:c>
      <x:c r="G51" s="10" t="s">
        <x:v>667</x:v>
      </x:c>
      <x:c r="H51" s="10" t="s">
        <x:v>683</x:v>
      </x:c>
      <x:c r="I51" s="10" t="s">
        <x:v>1326</x:v>
      </x:c>
      <x:c r="J51" s="9" t="s">
        <x:v>1321</x:v>
      </x:c>
      <x:c r="K51" s="9" t="s">
        <x:v>1177</x:v>
      </x:c>
      <x:c r="L51" s="10"/>
      <x:c r="M51" s="9" t="s">
        <x:v>314</x:v>
      </x:c>
      <x:c r="N51" s="25"/>
      <x:c r="O51" s="9" t="s">
        <x:v>669</x:v>
      </x:c>
    </x:row>
    <x:row r="52" ht="38" hidden="0" customHeight="1">
      <x:c r="A52" s="9" t="s">
        <x:v>693</x:v>
      </x:c>
      <x:c r="B52" s="9" t="s">
        <x:v>49</x:v>
      </x:c>
      <x:c r="C52" s="10"/>
      <x:c r="D52" s="9" t="s">
        <x:v>1319</x:v>
      </x:c>
      <x:c r="E52" s="9" t="s">
        <x:v>689</x:v>
      </x:c>
      <x:c r="F52" s="9" t="s">
        <x:v>459</x:v>
      </x:c>
      <x:c r="G52" s="10" t="s">
        <x:v>417</x:v>
      </x:c>
      <x:c r="H52" s="10" t="s">
        <x:v>692</x:v>
      </x:c>
      <x:c r="I52" s="10" t="s">
        <x:v>1326</x:v>
      </x:c>
      <x:c r="J52" s="9" t="s">
        <x:v>1321</x:v>
      </x:c>
      <x:c r="K52" s="9" t="s">
        <x:v>1177</x:v>
      </x:c>
      <x:c r="L52" s="10"/>
      <x:c r="M52" s="9" t="s">
        <x:v>381</x:v>
      </x:c>
      <x:c r="N52" s="25"/>
      <x:c r="O52" s="9" t="s">
        <x:v>623</x:v>
      </x:c>
    </x:row>
    <x:row r="53" ht="38" hidden="0" customHeight="1">
      <x:c r="A53" s="9" t="s">
        <x:v>700</x:v>
      </x:c>
      <x:c r="B53" s="9" t="s">
        <x:v>49</x:v>
      </x:c>
      <x:c r="C53" s="10"/>
      <x:c r="D53" s="9" t="s">
        <x:v>1319</x:v>
      </x:c>
      <x:c r="E53" s="9" t="s">
        <x:v>689</x:v>
      </x:c>
      <x:c r="F53" s="9" t="s">
        <x:v>459</x:v>
      </x:c>
      <x:c r="G53" s="10" t="s">
        <x:v>417</x:v>
      </x:c>
      <x:c r="H53" s="10" t="s">
        <x:v>699</x:v>
      </x:c>
      <x:c r="I53" s="10" t="s">
        <x:v>1326</x:v>
      </x:c>
      <x:c r="J53" s="9" t="s">
        <x:v>1321</x:v>
      </x:c>
      <x:c r="K53" s="9" t="s">
        <x:v>1177</x:v>
      </x:c>
      <x:c r="L53" s="10"/>
      <x:c r="M53" s="9" t="s">
        <x:v>314</x:v>
      </x:c>
      <x:c r="N53" s="25"/>
      <x:c r="O53" s="9" t="s">
        <x:v>623</x:v>
      </x:c>
    </x:row>
    <x:row r="54" ht="38" hidden="0" customHeight="1">
      <x:c r="A54" s="9" t="s">
        <x:v>706</x:v>
      </x:c>
      <x:c r="B54" s="9" t="s">
        <x:v>49</x:v>
      </x:c>
      <x:c r="C54" s="10"/>
      <x:c r="D54" s="9" t="s">
        <x:v>1319</x:v>
      </x:c>
      <x:c r="E54" s="9" t="s">
        <x:v>689</x:v>
      </x:c>
      <x:c r="F54" s="9" t="s">
        <x:v>620</x:v>
      </x:c>
      <x:c r="G54" s="10" t="s">
        <x:v>417</x:v>
      </x:c>
      <x:c r="H54" s="9" t="s">
        <x:v>705</x:v>
      </x:c>
      <x:c r="I54" s="10" t="s">
        <x:v>1326</x:v>
      </x:c>
      <x:c r="J54" s="9" t="s">
        <x:v>1321</x:v>
      </x:c>
      <x:c r="K54" s="9" t="s">
        <x:v>1177</x:v>
      </x:c>
      <x:c r="L54" s="10"/>
      <x:c r="M54" s="9" t="s">
        <x:v>314</x:v>
      </x:c>
      <x:c r="N54" s="25"/>
      <x:c r="O54" s="9" t="s">
        <x:v>623</x:v>
      </x:c>
    </x:row>
    <x:row r="55" ht="38" hidden="0" customHeight="1">
      <x:c r="A55" s="9" t="s">
        <x:v>714</x:v>
      </x:c>
      <x:c r="B55" s="9" t="s">
        <x:v>49</x:v>
      </x:c>
      <x:c r="C55" s="9" t="s">
        <x:v>1328</x:v>
      </x:c>
      <x:c r="D55" s="9" t="s">
        <x:v>1319</x:v>
      </x:c>
      <x:c r="E55" s="9" t="s">
        <x:v>709</x:v>
      </x:c>
      <x:c r="F55" s="9" t="s">
        <x:v>665</x:v>
      </x:c>
      <x:c r="G55" s="10" t="s">
        <x:v>667</x:v>
      </x:c>
      <x:c r="H55" s="10" t="s">
        <x:v>713</x:v>
      </x:c>
      <x:c r="I55" s="10" t="s">
        <x:v>1326</x:v>
      </x:c>
      <x:c r="J55" s="9" t="s">
        <x:v>1321</x:v>
      </x:c>
      <x:c r="K55" s="9" t="s">
        <x:v>1177</x:v>
      </x:c>
      <x:c r="L55" s="10"/>
      <x:c r="M55" s="9" t="s">
        <x:v>314</x:v>
      </x:c>
      <x:c r="N55" s="25"/>
      <x:c r="O55" s="9" t="s">
        <x:v>669</x:v>
      </x:c>
    </x:row>
    <x:row r="56" ht="38" hidden="0" customHeight="1">
      <x:c r="A56" s="9" t="s">
        <x:v>721</x:v>
      </x:c>
      <x:c r="B56" s="9" t="s">
        <x:v>49</x:v>
      </x:c>
      <x:c r="C56" s="10"/>
      <x:c r="D56" s="9" t="s">
        <x:v>1319</x:v>
      </x:c>
      <x:c r="E56" s="9" t="s">
        <x:v>323</x:v>
      </x:c>
      <x:c r="F56" s="9" t="s">
        <x:v>719</x:v>
      </x:c>
      <x:c r="G56" s="10" t="s">
        <x:v>417</x:v>
      </x:c>
      <x:c r="H56" s="9" t="s">
        <x:v>720</x:v>
      </x:c>
      <x:c r="I56" s="10" t="s">
        <x:v>1326</x:v>
      </x:c>
      <x:c r="J56" s="9" t="s">
        <x:v>1321</x:v>
      </x:c>
      <x:c r="K56" s="9" t="s">
        <x:v>1177</x:v>
      </x:c>
      <x:c r="L56" s="10"/>
      <x:c r="M56" s="9" t="s">
        <x:v>432</x:v>
      </x:c>
      <x:c r="N56" s="25"/>
      <x:c r="O56" s="9" t="s">
        <x:v>722</x:v>
      </x:c>
    </x:row>
    <x:row r="57" ht="38" hidden="0" customHeight="1">
      <x:c r="A57" s="9" t="s">
        <x:v>729</x:v>
      </x:c>
      <x:c r="B57" s="9" t="s">
        <x:v>49</x:v>
      </x:c>
      <x:c r="C57" s="10"/>
      <x:c r="D57" s="9" t="s">
        <x:v>1319</x:v>
      </x:c>
      <x:c r="E57" s="9" t="s">
        <x:v>725</x:v>
      </x:c>
      <x:c r="F57" s="9" t="s">
        <x:v>719</x:v>
      </x:c>
      <x:c r="G57" s="10" t="s">
        <x:v>417</x:v>
      </x:c>
      <x:c r="H57" s="10" t="s">
        <x:v>728</x:v>
      </x:c>
      <x:c r="I57" s="10" t="s">
        <x:v>1326</x:v>
      </x:c>
      <x:c r="J57" s="9" t="s">
        <x:v>1321</x:v>
      </x:c>
      <x:c r="K57" s="9" t="s">
        <x:v>1177</x:v>
      </x:c>
      <x:c r="L57" s="10"/>
      <x:c r="M57" s="9" t="s">
        <x:v>314</x:v>
      </x:c>
      <x:c r="N57" s="25"/>
      <x:c r="O57" s="9" t="s">
        <x:v>722</x:v>
      </x:c>
    </x:row>
    <x:row r="58" ht="38" hidden="0" customHeight="1">
      <x:c r="A58" s="9" t="s">
        <x:v>736</x:v>
      </x:c>
      <x:c r="B58" s="9" t="s">
        <x:v>49</x:v>
      </x:c>
      <x:c r="C58" s="10"/>
      <x:c r="D58" s="9" t="s">
        <x:v>1319</x:v>
      </x:c>
      <x:c r="E58" s="9" t="s">
        <x:v>366</x:v>
      </x:c>
      <x:c r="F58" s="9" t="s">
        <x:v>734</x:v>
      </x:c>
      <x:c r="G58" s="10" t="s">
        <x:v>417</x:v>
      </x:c>
      <x:c r="H58" s="9" t="s">
        <x:v>735</x:v>
      </x:c>
      <x:c r="I58" s="10" t="s">
        <x:v>1326</x:v>
      </x:c>
      <x:c r="J58" s="9" t="s">
        <x:v>1321</x:v>
      </x:c>
      <x:c r="K58" s="9" t="s">
        <x:v>1177</x:v>
      </x:c>
      <x:c r="L58" s="10"/>
      <x:c r="M58" s="9" t="s">
        <x:v>314</x:v>
      </x:c>
      <x:c r="N58" s="25"/>
      <x:c r="O58" s="9" t="s">
        <x:v>737</x:v>
      </x:c>
    </x:row>
    <x:row r="59" ht="38" hidden="0" customHeight="1">
      <x:c r="A59" s="9" t="s">
        <x:v>750</x:v>
      </x:c>
      <x:c r="B59" s="9" t="s">
        <x:v>51</x:v>
      </x:c>
      <x:c r="C59" s="10"/>
      <x:c r="D59" s="9" t="s">
        <x:v>1319</x:v>
      </x:c>
      <x:c r="E59" s="9" t="s">
        <x:v>425</x:v>
      </x:c>
      <x:c r="F59" s="9" t="s">
        <x:v>747</x:v>
      </x:c>
      <x:c r="G59" s="10" t="s">
        <x:v>749</x:v>
      </x:c>
      <x:c r="H59" s="10" t="s">
        <x:v>748</x:v>
      </x:c>
      <x:c r="I59" s="10" t="s">
        <x:v>1326</x:v>
      </x:c>
      <x:c r="J59" s="9" t="s">
        <x:v>1321</x:v>
      </x:c>
      <x:c r="K59" s="9" t="s">
        <x:v>1177</x:v>
      </x:c>
      <x:c r="L59" s="10"/>
      <x:c r="M59" s="9" t="s">
        <x:v>314</x:v>
      </x:c>
      <x:c r="N59" s="25"/>
      <x:c r="O59" s="9" t="s">
        <x:v>754</x:v>
      </x:c>
    </x:row>
    <x:row r="60" ht="38" hidden="0" customHeight="1">
      <x:c r="A60" s="9" t="s">
        <x:v>759</x:v>
      </x:c>
      <x:c r="B60" s="9" t="s">
        <x:v>51</x:v>
      </x:c>
      <x:c r="C60" s="10"/>
      <x:c r="D60" s="9" t="s">
        <x:v>1319</x:v>
      </x:c>
      <x:c r="E60" s="9" t="s">
        <x:v>425</x:v>
      </x:c>
      <x:c r="F60" s="9" t="s">
        <x:v>747</x:v>
      </x:c>
      <x:c r="G60" s="10" t="s">
        <x:v>749</x:v>
      </x:c>
      <x:c r="H60" s="10" t="s">
        <x:v>758</x:v>
      </x:c>
      <x:c r="I60" s="10" t="s">
        <x:v>1326</x:v>
      </x:c>
      <x:c r="J60" s="9" t="s">
        <x:v>1321</x:v>
      </x:c>
      <x:c r="K60" s="9" t="s">
        <x:v>1177</x:v>
      </x:c>
      <x:c r="L60" s="10"/>
      <x:c r="M60" s="9" t="s">
        <x:v>314</x:v>
      </x:c>
      <x:c r="N60" s="25"/>
      <x:c r="O60" s="9" t="s">
        <x:v>760</x:v>
      </x:c>
    </x:row>
    <x:row r="61" ht="38" hidden="0" customHeight="1">
      <x:c r="A61" s="9" t="s">
        <x:v>767</x:v>
      </x:c>
      <x:c r="B61" s="9" t="s">
        <x:v>51</x:v>
      </x:c>
      <x:c r="C61" s="10"/>
      <x:c r="D61" s="9" t="s">
        <x:v>1319</x:v>
      </x:c>
      <x:c r="E61" s="9" t="s">
        <x:v>296</x:v>
      </x:c>
      <x:c r="F61" s="9" t="s">
        <x:v>747</x:v>
      </x:c>
      <x:c r="G61" s="10" t="s">
        <x:v>749</x:v>
      </x:c>
      <x:c r="H61" s="10" t="s">
        <x:v>766</x:v>
      </x:c>
      <x:c r="I61" s="10" t="s">
        <x:v>1326</x:v>
      </x:c>
      <x:c r="J61" s="9" t="s">
        <x:v>1321</x:v>
      </x:c>
      <x:c r="K61" s="9" t="s">
        <x:v>1177</x:v>
      </x:c>
      <x:c r="L61" s="10"/>
      <x:c r="M61" s="9" t="s">
        <x:v>381</x:v>
      </x:c>
      <x:c r="N61" s="25"/>
      <x:c r="O61" s="9" t="s">
        <x:v>768</x:v>
      </x:c>
    </x:row>
    <x:row r="62" ht="38" hidden="0" customHeight="1">
      <x:c r="A62" s="9" t="s">
        <x:v>773</x:v>
      </x:c>
      <x:c r="B62" s="9" t="s">
        <x:v>51</x:v>
      </x:c>
      <x:c r="C62" s="10"/>
      <x:c r="D62" s="9" t="s">
        <x:v>1319</x:v>
      </x:c>
      <x:c r="E62" s="9" t="s">
        <x:v>296</x:v>
      </x:c>
      <x:c r="F62" s="9" t="s">
        <x:v>747</x:v>
      </x:c>
      <x:c r="G62" s="10" t="s">
        <x:v>749</x:v>
      </x:c>
      <x:c r="H62" s="10" t="s">
        <x:v>772</x:v>
      </x:c>
      <x:c r="I62" s="10" t="s">
        <x:v>1326</x:v>
      </x:c>
      <x:c r="J62" s="9" t="s">
        <x:v>1321</x:v>
      </x:c>
      <x:c r="K62" s="9" t="s">
        <x:v>1177</x:v>
      </x:c>
      <x:c r="L62" s="10"/>
      <x:c r="M62" s="9" t="s">
        <x:v>381</x:v>
      </x:c>
      <x:c r="N62" s="25"/>
      <x:c r="O62" s="9" t="s">
        <x:v>768</x:v>
      </x:c>
    </x:row>
    <x:row r="63" ht="38" hidden="0" customHeight="1">
      <x:c r="A63" s="9" t="s">
        <x:v>778</x:v>
      </x:c>
      <x:c r="B63" s="9" t="s">
        <x:v>51</x:v>
      </x:c>
      <x:c r="C63" s="10"/>
      <x:c r="D63" s="9" t="s">
        <x:v>1319</x:v>
      </x:c>
      <x:c r="E63" s="9" t="s">
        <x:v>296</x:v>
      </x:c>
      <x:c r="F63" s="9" t="s">
        <x:v>747</x:v>
      </x:c>
      <x:c r="G63" s="10" t="s">
        <x:v>749</x:v>
      </x:c>
      <x:c r="H63" s="10" t="s">
        <x:v>777</x:v>
      </x:c>
      <x:c r="I63" s="10" t="s">
        <x:v>1326</x:v>
      </x:c>
      <x:c r="J63" s="9" t="s">
        <x:v>1321</x:v>
      </x:c>
      <x:c r="K63" s="9" t="s">
        <x:v>1177</x:v>
      </x:c>
      <x:c r="L63" s="10"/>
      <x:c r="M63" s="9" t="s">
        <x:v>381</x:v>
      </x:c>
      <x:c r="N63" s="25"/>
      <x:c r="O63" s="9" t="s">
        <x:v>768</x:v>
      </x:c>
    </x:row>
    <x:row r="64" ht="38" hidden="0" customHeight="1">
      <x:c r="A64" s="9" t="s">
        <x:v>783</x:v>
      </x:c>
      <x:c r="B64" s="9" t="s">
        <x:v>51</x:v>
      </x:c>
      <x:c r="C64" s="10"/>
      <x:c r="D64" s="9" t="s">
        <x:v>1319</x:v>
      </x:c>
      <x:c r="E64" s="9" t="s">
        <x:v>296</x:v>
      </x:c>
      <x:c r="F64" s="9" t="s">
        <x:v>747</x:v>
      </x:c>
      <x:c r="G64" s="10" t="s">
        <x:v>749</x:v>
      </x:c>
      <x:c r="H64" s="10" t="s">
        <x:v>782</x:v>
      </x:c>
      <x:c r="I64" s="10" t="s">
        <x:v>1326</x:v>
      </x:c>
      <x:c r="J64" s="9" t="s">
        <x:v>1321</x:v>
      </x:c>
      <x:c r="K64" s="9" t="s">
        <x:v>1177</x:v>
      </x:c>
      <x:c r="L64" s="10"/>
      <x:c r="M64" s="9" t="s">
        <x:v>381</x:v>
      </x:c>
      <x:c r="N64" s="25"/>
      <x:c r="O64" s="9" t="s">
        <x:v>768</x:v>
      </x:c>
    </x:row>
    <x:row r="65" ht="38" hidden="0" customHeight="1">
      <x:c r="A65" s="9" t="s">
        <x:v>788</x:v>
      </x:c>
      <x:c r="B65" s="9" t="s">
        <x:v>51</x:v>
      </x:c>
      <x:c r="C65" s="10"/>
      <x:c r="D65" s="9" t="s">
        <x:v>1319</x:v>
      </x:c>
      <x:c r="E65" s="9" t="s">
        <x:v>296</x:v>
      </x:c>
      <x:c r="F65" s="9" t="s">
        <x:v>747</x:v>
      </x:c>
      <x:c r="G65" s="10" t="s">
        <x:v>749</x:v>
      </x:c>
      <x:c r="H65" s="10" t="s">
        <x:v>787</x:v>
      </x:c>
      <x:c r="I65" s="10" t="s">
        <x:v>1326</x:v>
      </x:c>
      <x:c r="J65" s="9" t="s">
        <x:v>1321</x:v>
      </x:c>
      <x:c r="K65" s="9" t="s">
        <x:v>1177</x:v>
      </x:c>
      <x:c r="L65" s="10"/>
      <x:c r="M65" s="9" t="s">
        <x:v>381</x:v>
      </x:c>
      <x:c r="N65" s="25"/>
      <x:c r="O65" s="9" t="s">
        <x:v>768</x:v>
      </x:c>
    </x:row>
    <x:row r="66" ht="38" hidden="0" customHeight="1">
      <x:c r="A66" s="9" t="s">
        <x:v>796</x:v>
      </x:c>
      <x:c r="B66" s="9" t="s">
        <x:v>51</x:v>
      </x:c>
      <x:c r="C66" s="10"/>
      <x:c r="D66" s="9" t="s">
        <x:v>1319</x:v>
      </x:c>
      <x:c r="E66" s="9" t="s">
        <x:v>793</x:v>
      </x:c>
      <x:c r="F66" s="9" t="s">
        <x:v>747</x:v>
      </x:c>
      <x:c r="G66" s="10" t="s">
        <x:v>749</x:v>
      </x:c>
      <x:c r="H66" s="10" t="s">
        <x:v>795</x:v>
      </x:c>
      <x:c r="I66" s="10" t="s">
        <x:v>1326</x:v>
      </x:c>
      <x:c r="J66" s="9" t="s">
        <x:v>1321</x:v>
      </x:c>
      <x:c r="K66" s="9" t="s">
        <x:v>1177</x:v>
      </x:c>
      <x:c r="L66" s="10"/>
      <x:c r="M66" s="9" t="s">
        <x:v>314</x:v>
      </x:c>
      <x:c r="N66" s="25"/>
      <x:c r="O66" s="9" t="s">
        <x:v>768</x:v>
      </x:c>
    </x:row>
    <x:row r="67" ht="38" hidden="0" customHeight="1">
      <x:c r="A67" s="9" t="s">
        <x:v>802</x:v>
      </x:c>
      <x:c r="B67" s="9" t="s">
        <x:v>51</x:v>
      </x:c>
      <x:c r="C67" s="10"/>
      <x:c r="D67" s="9" t="s">
        <x:v>1319</x:v>
      </x:c>
      <x:c r="E67" s="9" t="s">
        <x:v>799</x:v>
      </x:c>
      <x:c r="F67" s="9" t="s">
        <x:v>747</x:v>
      </x:c>
      <x:c r="G67" s="10" t="s">
        <x:v>749</x:v>
      </x:c>
      <x:c r="H67" s="10" t="s">
        <x:v>801</x:v>
      </x:c>
      <x:c r="I67" s="10" t="s">
        <x:v>1326</x:v>
      </x:c>
      <x:c r="J67" s="9" t="s">
        <x:v>1321</x:v>
      </x:c>
      <x:c r="K67" s="9" t="s">
        <x:v>1177</x:v>
      </x:c>
      <x:c r="L67" s="10"/>
      <x:c r="M67" s="9" t="s">
        <x:v>381</x:v>
      </x:c>
      <x:c r="N67" s="25"/>
      <x:c r="O67" s="9" t="s">
        <x:v>768</x:v>
      </x:c>
    </x:row>
    <x:row r="68" ht="38" hidden="0" customHeight="1">
      <x:c r="A68" s="9" t="s">
        <x:v>809</x:v>
      </x:c>
      <x:c r="B68" s="9" t="s">
        <x:v>51</x:v>
      </x:c>
      <x:c r="C68" s="10"/>
      <x:c r="D68" s="9" t="s">
        <x:v>1319</x:v>
      </x:c>
      <x:c r="E68" s="9" t="s">
        <x:v>425</x:v>
      </x:c>
      <x:c r="F68" s="9" t="s">
        <x:v>747</x:v>
      </x:c>
      <x:c r="G68" s="10" t="s">
        <x:v>749</x:v>
      </x:c>
      <x:c r="H68" s="10" t="s">
        <x:v>808</x:v>
      </x:c>
      <x:c r="I68" s="10" t="s">
        <x:v>1326</x:v>
      </x:c>
      <x:c r="J68" s="9" t="s">
        <x:v>1321</x:v>
      </x:c>
      <x:c r="K68" s="9" t="s">
        <x:v>1177</x:v>
      </x:c>
      <x:c r="L68" s="10"/>
      <x:c r="M68" s="9" t="s">
        <x:v>314</x:v>
      </x:c>
      <x:c r="N68" s="25"/>
      <x:c r="O68" s="9" t="s">
        <x:v>768</x:v>
      </x:c>
    </x:row>
    <x:row r="69" ht="38" hidden="0" customHeight="1">
      <x:c r="A69" s="9" t="s">
        <x:v>814</x:v>
      </x:c>
      <x:c r="B69" s="9" t="s">
        <x:v>51</x:v>
      </x:c>
      <x:c r="C69" s="10"/>
      <x:c r="D69" s="9" t="s">
        <x:v>1319</x:v>
      </x:c>
      <x:c r="E69" s="9" t="s">
        <x:v>425</x:v>
      </x:c>
      <x:c r="F69" s="9" t="s">
        <x:v>747</x:v>
      </x:c>
      <x:c r="G69" s="10" t="s">
        <x:v>749</x:v>
      </x:c>
      <x:c r="H69" s="10" t="s">
        <x:v>813</x:v>
      </x:c>
      <x:c r="I69" s="10" t="s">
        <x:v>1326</x:v>
      </x:c>
      <x:c r="J69" s="9" t="s">
        <x:v>1321</x:v>
      </x:c>
      <x:c r="K69" s="9" t="s">
        <x:v>1177</x:v>
      </x:c>
      <x:c r="L69" s="10"/>
      <x:c r="M69" s="9" t="s">
        <x:v>314</x:v>
      </x:c>
      <x:c r="N69" s="25"/>
      <x:c r="O69" s="9" t="s">
        <x:v>768</x:v>
      </x:c>
    </x:row>
    <x:row r="70" ht="38" hidden="0" customHeight="1">
      <x:c r="A70" s="9" t="s">
        <x:v>821</x:v>
      </x:c>
      <x:c r="B70" s="9" t="s">
        <x:v>51</x:v>
      </x:c>
      <x:c r="C70" s="10"/>
      <x:c r="D70" s="9" t="s">
        <x:v>1319</x:v>
      </x:c>
      <x:c r="E70" s="9" t="s">
        <x:v>662</x:v>
      </x:c>
      <x:c r="F70" s="9" t="s">
        <x:v>747</x:v>
      </x:c>
      <x:c r="G70" s="10" t="s">
        <x:v>749</x:v>
      </x:c>
      <x:c r="H70" s="10" t="s">
        <x:v>820</x:v>
      </x:c>
      <x:c r="I70" s="10" t="s">
        <x:v>1326</x:v>
      </x:c>
      <x:c r="J70" s="9" t="s">
        <x:v>1321</x:v>
      </x:c>
      <x:c r="K70" s="9" t="s">
        <x:v>1177</x:v>
      </x:c>
      <x:c r="L70" s="10"/>
      <x:c r="M70" s="9" t="s">
        <x:v>381</x:v>
      </x:c>
      <x:c r="N70" s="25"/>
      <x:c r="O70" s="9" t="s">
        <x:v>822</x:v>
      </x:c>
    </x:row>
    <x:row r="71" ht="38" hidden="0" customHeight="1">
      <x:c r="A71" s="9" t="s">
        <x:v>829</x:v>
      </x:c>
      <x:c r="B71" s="9" t="s">
        <x:v>51</x:v>
      </x:c>
      <x:c r="C71" s="9" t="s">
        <x:v>1329</x:v>
      </x:c>
      <x:c r="D71" s="9" t="s">
        <x:v>1319</x:v>
      </x:c>
      <x:c r="E71" s="9" t="s">
        <x:v>689</x:v>
      </x:c>
      <x:c r="F71" s="9" t="s">
        <x:v>747</x:v>
      </x:c>
      <x:c r="G71" s="10" t="s">
        <x:v>749</x:v>
      </x:c>
      <x:c r="H71" s="10" t="s">
        <x:v>828</x:v>
      </x:c>
      <x:c r="I71" s="10" t="s">
        <x:v>1326</x:v>
      </x:c>
      <x:c r="J71" s="9" t="s">
        <x:v>1321</x:v>
      </x:c>
      <x:c r="K71" s="9" t="s">
        <x:v>1177</x:v>
      </x:c>
      <x:c r="L71" s="10"/>
      <x:c r="M71" s="9" t="s">
        <x:v>381</x:v>
      </x:c>
      <x:c r="N71" s="25"/>
      <x:c r="O71" s="9" t="s">
        <x:v>830</x:v>
      </x:c>
    </x:row>
    <x:row r="72" ht="38" hidden="0" customHeight="1">
      <x:c r="A72" s="9" t="s">
        <x:v>836</x:v>
      </x:c>
      <x:c r="B72" s="9" t="s">
        <x:v>51</x:v>
      </x:c>
      <x:c r="C72" s="9" t="s">
        <x:v>1192</x:v>
      </x:c>
      <x:c r="D72" s="9" t="s">
        <x:v>1319</x:v>
      </x:c>
      <x:c r="E72" s="9" t="s">
        <x:v>709</x:v>
      </x:c>
      <x:c r="F72" s="9" t="s">
        <x:v>747</x:v>
      </x:c>
      <x:c r="G72" s="10" t="s">
        <x:v>835</x:v>
      </x:c>
      <x:c r="H72" s="10" t="s">
        <x:v>834</x:v>
      </x:c>
      <x:c r="I72" s="10" t="s">
        <x:v>1326</x:v>
      </x:c>
      <x:c r="J72" s="9" t="s">
        <x:v>1321</x:v>
      </x:c>
      <x:c r="K72" s="9" t="s">
        <x:v>1177</x:v>
      </x:c>
      <x:c r="L72" s="10"/>
      <x:c r="M72" s="9" t="s">
        <x:v>381</x:v>
      </x:c>
      <x:c r="N72" s="25"/>
      <x:c r="O72" s="9" t="s">
        <x:v>837</x:v>
      </x:c>
    </x:row>
    <x:row r="73" ht="38" hidden="0" customHeight="1">
      <x:c r="A73" s="9" t="s">
        <x:v>842</x:v>
      </x:c>
      <x:c r="B73" s="9" t="s">
        <x:v>51</x:v>
      </x:c>
      <x:c r="C73" s="10"/>
      <x:c r="D73" s="9" t="s">
        <x:v>1319</x:v>
      </x:c>
      <x:c r="E73" s="9" t="s">
        <x:v>323</x:v>
      </x:c>
      <x:c r="F73" s="9" t="s">
        <x:v>747</x:v>
      </x:c>
      <x:c r="G73" s="10" t="s">
        <x:v>749</x:v>
      </x:c>
      <x:c r="H73" s="10" t="s">
        <x:v>841</x:v>
      </x:c>
      <x:c r="I73" s="10" t="s">
        <x:v>1326</x:v>
      </x:c>
      <x:c r="J73" s="9" t="s">
        <x:v>1321</x:v>
      </x:c>
      <x:c r="K73" s="9" t="s">
        <x:v>1177</x:v>
      </x:c>
      <x:c r="L73" s="10"/>
      <x:c r="M73" s="9" t="s">
        <x:v>314</x:v>
      </x:c>
      <x:c r="N73" s="25"/>
      <x:c r="O73" s="9" t="s">
        <x:v>843</x:v>
      </x:c>
    </x:row>
  </x:sheetData>
  <x:mergeCells>
    <x:mergeCell ref="A1:O1"/>
    <x:mergeCell ref="A2:O2"/>
  </x:mergeCells>
  <x:conditionalFormatting sqref="K5:K73">
    <x:cfRule type="containsText" dxfId="51" priority="2" aboveAverage="0" percent="0" bottom="0" operator="containsText" text="BLOCKED" rank="0" equalAverage="0">
      <x:formula>NOT(ISERROR(SEARCH("BLOCKED",K5)))</x:formula>
    </x:cfRule>
    <x:cfRule type="containsText" dxfId="52" priority="3" aboveAverage="0" percent="0" bottom="0" operator="containsText" text="REVIEW_FAILED" rank="0" equalAverage="0">
      <x:formula>NOT(ISERROR(SEARCH("REVIEW_FAILED",K5)))</x:formula>
    </x:cfRule>
    <x:cfRule type="containsText" dxfId="53" priority="4" aboveAverage="0" percent="0" bottom="0" operator="containsText" text="READY" rank="0" equalAverage="0">
      <x:formula>NOT(ISERROR(SEARCH("READY",K5)))</x:formula>
    </x:cfRule>
    <x:cfRule type="containsText" dxfId="54" priority="5" aboveAverage="0" percent="0" bottom="0" operator="containsText" text="IN_PROGRESS" rank="0" equalAverage="0">
      <x:formula>NOT(ISERROR(SEARCH("IN_PROGRESS",K5)))</x:formula>
    </x:cfRule>
    <x:cfRule type="containsText" dxfId="55" priority="6" aboveAverage="0" percent="0" bottom="0" operator="containsText" text="IMPLEMENTED_PENDING_REVIEW" rank="0" equalAverage="0">
      <x:formula>NOT(ISERROR(SEARCH("IMPLEMENTED_PENDING_REVIEW",K5)))</x:formula>
    </x:cfRule>
    <x:cfRule type="containsText" dxfId="56" priority="7" aboveAverage="0" percent="0" bottom="0" operator="containsText" text="VERIFIED" rank="0" equalAverage="0">
      <x:formula>NOT(ISERROR(SEARCH("VERIFIED",K5)))</x:formula>
    </x:cfRule>
    <x:cfRule type="containsText" dxfId="57" priority="8" aboveAverage="0" percent="0" bottom="0" operator="containsText" text="DEFERRED" rank="0" equalAverage="0">
      <x:formula>NOT(ISERROR(SEARCH("DEFERRED",K5)))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db46b3cc5d4d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1.479999542236328" hidden="0" customWidth="1"/>
    <x:col min="2" max="2" width="16.709999084472656" hidden="0" customWidth="1"/>
    <x:col min="3" max="3" width="28.649999618530273" hidden="0" customWidth="1"/>
    <x:col min="4" max="4" width="35.810001373291016" hidden="0" customWidth="1"/>
    <x:col min="5" max="5" width="41.779998779296875" hidden="0" customWidth="1"/>
    <x:col min="6" max="6" width="45.349998474121094" hidden="0" customWidth="1"/>
    <x:col min="7" max="7" width="53.709999084472656" hidden="0" customWidth="1"/>
    <x:col min="8" max="8" width="47.7400016784668" hidden="0" customWidth="1"/>
    <x:col min="9" max="9" width="23.8700008392334" hidden="0" customWidth="1"/>
    <x:col min="10" max="10" width="50.130001068115234" hidden="0" customWidth="1"/>
    <x:col min="11" max="11" width="41.779998779296875" hidden="0" customWidth="1"/>
    <x:col min="12" max="12" width="50.130001068115234" hidden="0" customWidth="1"/>
    <x:col min="13" max="13" width="26.260000228881836" hidden="0" customWidth="1"/>
    <x:col min="14" max="14" width="47.7400016784668" hidden="0" customWidth="1"/>
  </x:cols>
  <x:sheetData>
    <x:row r="1" ht="28" hidden="0" customHeight="1">
      <x:c r="A1" s="17" t="s">
        <x:v>1330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34" hidden="0" customHeight="1">
      <x:c r="A2" s="18" t="s">
        <x:v>1331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 ht="15" hidden="0">
      <x:c r="A4" s="20" t="s">
        <x:v>1332</x:v>
      </x:c>
      <x:c r="B4" s="14" t="s">
        <x:v>1333</x:v>
      </x:c>
      <x:c r="C4" s="14" t="s">
        <x:v>1334</x:v>
      </x:c>
      <x:c r="D4" s="14" t="s">
        <x:v>1335</x:v>
      </x:c>
      <x:c r="E4" s="14" t="s">
        <x:v>1336</x:v>
      </x:c>
      <x:c r="F4" s="14" t="s">
        <x:v>1337</x:v>
      </x:c>
      <x:c r="G4" s="14" t="s">
        <x:v>1338</x:v>
      </x:c>
      <x:c r="H4" s="14" t="s">
        <x:v>1339</x:v>
      </x:c>
      <x:c r="I4" s="14" t="s">
        <x:v>1340</x:v>
      </x:c>
      <x:c r="J4" s="14" t="s">
        <x:v>1341</x:v>
      </x:c>
      <x:c r="K4" s="14" t="s">
        <x:v>1342</x:v>
      </x:c>
      <x:c r="L4" s="14" t="s">
        <x:v>1343</x:v>
      </x:c>
      <x:c r="M4" s="14" t="s">
        <x:v>1344</x:v>
      </x:c>
      <x:c r="N4" s="21" t="s">
        <x:v>1345</x:v>
      </x:c>
    </x:row>
    <x:row r="5" ht="44" hidden="0" customHeight="1">
      <x:c r="A5" s="7" t="s">
        <x:v>1346</x:v>
      </x:c>
      <x:c r="B5" s="24" t="s">
        <x:v>338</x:v>
      </x:c>
      <x:c r="C5" s="7" t="s">
        <x:v>1347</x:v>
      </x:c>
      <x:c r="D5" s="7" t="s">
        <x:v>383</x:v>
      </x:c>
      <x:c r="E5" s="7" t="s">
        <x:v>1348</x:v>
      </x:c>
      <x:c r="F5" s="7" t="s">
        <x:v>1349</x:v>
      </x:c>
      <x:c r="G5" s="7" t="s">
        <x:v>1350</x:v>
      </x:c>
      <x:c r="H5" s="8" t="s">
        <x:v>1351</x:v>
      </x:c>
      <x:c r="I5" s="7" t="s">
        <x:v>26</x:v>
      </x:c>
      <x:c r="J5" s="7" t="s">
        <x:v>1352</x:v>
      </x:c>
      <x:c r="K5" s="7" t="s">
        <x:v>1353</x:v>
      </x:c>
      <x:c r="L5" s="7" t="s">
        <x:v>1354</x:v>
      </x:c>
      <x:c r="M5" s="7" t="s">
        <x:v>320</x:v>
      </x:c>
      <x:c r="N5" s="8" t="s">
        <x:v>1355</x:v>
      </x:c>
    </x:row>
    <x:row r="6" ht="44" hidden="0" customHeight="1">
      <x:c r="A6" s="9" t="s">
        <x:v>1356</x:v>
      </x:c>
      <x:c r="B6" s="25" t="s">
        <x:v>338</x:v>
      </x:c>
      <x:c r="C6" s="9" t="s">
        <x:v>1347</x:v>
      </x:c>
      <x:c r="D6" s="9" t="s">
        <x:v>1357</x:v>
      </x:c>
      <x:c r="E6" s="9" t="s">
        <x:v>1348</x:v>
      </x:c>
      <x:c r="F6" s="9" t="s">
        <x:v>1358</x:v>
      </x:c>
      <x:c r="G6" s="10" t="s">
        <x:v>1359</x:v>
      </x:c>
      <x:c r="H6" s="10" t="s">
        <x:v>1360</x:v>
      </x:c>
      <x:c r="I6" s="9" t="s">
        <x:v>26</x:v>
      </x:c>
      <x:c r="J6" s="9" t="s">
        <x:v>1361</x:v>
      </x:c>
      <x:c r="K6" s="9" t="s">
        <x:v>1362</x:v>
      </x:c>
      <x:c r="L6" s="9" t="s">
        <x:v>1363</x:v>
      </x:c>
      <x:c r="M6" s="9" t="s">
        <x:v>320</x:v>
      </x:c>
      <x:c r="N6" s="10" t="s">
        <x:v>1364</x:v>
      </x:c>
    </x:row>
    <x:row r="7" ht="15" hidden="0">
      <x:c r="A7" s="26" t="str">
        <x:v>RUN-V5-G0-INDEPENDENT-REVIEW-002</x:v>
      </x:c>
      <x:c r="B7" s="26" t="str">
        <x:v>2026-07-30</x:v>
      </x:c>
      <x:c r="C7" s="26" t="str">
        <x:v>Independent Codex / GPT-5.6 Sol</x:v>
      </x:c>
      <x:c r="D7" s="26" t="str">
        <x:v>V5-P0-T001..T005,V5-P1-T001..T006</x:v>
      </x:c>
      <x:c r="E7" s="26" t="str">
        <x:v>bd15fca; detached review checkout; exact 8 protected S1A.2 U</x:v>
      </x:c>
      <x:c r="F7" s="26" t="str">
        <x:v>CURRENT_STATE + Review 002 only</x:v>
      </x:c>
      <x:c r="G7" s="27" t="str">
        <x:v>Git/hash/diff/code ownership；independent 10/12 probe；V5/tracked/all-present；scenes/editor/diff/error scans</x:v>
      </x:c>
      <x:c r="H7" s="27" t="str">
        <x:v>probe 10；V5 27；tracked 29/29 1601；all-present 30/30 1713 assertions / 1742 PASS</x:v>
      </x:c>
      <x:c r="I7" s="26" t="str">
        <x:v>V5_P0_P1_PACKAGE_REVIEW_ACCEPTED</x:v>
      </x:c>
      <x:c r="J7" s="26" t="str">
        <x:v>Accepts G0/P0/P1 only; G1/G2 not accepted; S1A.2 remains protected</x:v>
      </x:c>
      <x:c r="K7" s="26" t="str">
        <x:v>local review checkpoint; exact 8 protected S1A.2 U</x:v>
      </x:c>
      <x:c r="L7" s="26" t="str">
        <x:v>2cc4ebf</x:v>
      </x:c>
      <x:c r="M7" s="26" t="str">
        <x:v>V5 G1 six contracts</x:v>
      </x:c>
      <x:c r="N7" t="str">
        <x:v>No; G0 accepted and G1 contract work authorized</x:v>
      </x:c>
    </x:row>
    <x:row r="8" ht="15" hidden="0">
      <x:c r="A8" s="26" t="str">
        <x:v>RUN-V5-G1-CONTRACTS-001</x:v>
      </x:c>
      <x:c r="B8" s="26" t="str">
        <x:v>2026-07-30</x:v>
      </x:c>
      <x:c r="C8" s="26" t="str">
        <x:v>Main Codex / GPT-5.6 Sol</x:v>
      </x:c>
      <x:c r="D8" s="26" t="str">
        <x:v>V5-P2-T001,V5-P2-T004,V5-P3-T001,V5-P4-T001,V5-P5-T001,V5-P5-T002</x:v>
      </x:c>
      <x:c r="E8" s="26" t="str">
        <x:v>codex/v5-g0-review-g1-contracts-001@2cc4ebf; exact 8 protected S1A.2 U</x:v>
      </x:c>
      <x:c r="F8" s="26" t="str">
        <x:v>six contract/decision artifacts + test matrix + state + planning workbook/mirrors</x:v>
      </x:c>
      <x:c r="G8" s="27" t="str">
        <x:v>static contract validator；artifact-tool workbook inspect/render/export；V5/S1A.2/tracked/all-present；scenes/editor/diff/error scans</x:v>
      </x:c>
      <x:c r="H8" s="27" t="str">
        <x:v>contracts PASS_MAIN_AGENT；final runtime regression and planning audits passed</x:v>
      </x:c>
      <x:c r="I8" s="26" t="str">
        <x:v>V5_G1_CONTRACTS_IMPLEMENTED_PENDING_INDEPENDENT_REVIEW</x:v>
      </x:c>
      <x:c r="J8" s="26" t="str">
        <x:v>No TrainingQueue/ArmyRegistry/V2 writer runtime; G2 not authorized; no V6</x:v>
      </x:c>
      <x:c r="K8" s="26" t="str">
        <x:v>local G1 candidate; exact 8 protected S1A.2 U</x:v>
      </x:c>
      <x:c r="L8" s="26" t="str">
        <x:v>local G1 candidate commit (this revision)</x:v>
      </x:c>
      <x:c r="M8" s="26" t="str">
        <x:v>independent G1 contract package review</x:v>
      </x:c>
      <x:c r="N8" s="26" t="str">
        <x:v>Independent review required before G1 VERIFIED</x:v>
      </x:c>
    </x:row>
    <x:row r="9" ht="15" hidden="0">
      <x:c r="A9" s="28" t="str">
        <x:v>RUN-V5-G1-INDEPENDENT-REVIEW-001</x:v>
      </x:c>
      <x:c r="B9" s="28" t="str">
        <x:v>2026-07-30</x:v>
      </x:c>
      <x:c r="C9" s="28" t="str">
        <x:v>Independent Codex / GPT-5.6 Sol</x:v>
      </x:c>
      <x:c r="D9" s="28" t="str">
        <x:v>V5-P2-T001,V5-P2-T004,V5-P3-T001,V5-P4-T001,V5-P5-T001,V5-P5-T002</x:v>
      </x:c>
      <x:c r="E9" s="28" t="str">
        <x:v>b3a7f03055350f25caa14dee8a630cf3b004d028; parent 2cc4ebf; exact 8 protected S1A.2 U</x:v>
      </x:c>
      <x:c r="F9" s="28" t="str">
        <x:v>Review 001 + CURRENT_STATE + planning synchronization only</x:v>
      </x:c>
      <x:c r="G9" s="28" t="str">
        <x:v>candidate hash/manifest；51 baseline + 30 cross checks；V5/tracked/all-present；scenes/editor/diff/error；workbook inspect/render</x:v>
      </x:c>
      <x:c r="H9" s="28" t="str">
        <x:v>51/51 + 30/30；V5 27；tracked 29/29 1601；all-present 30/30 1713 / 1742 PASS；workbook 14/14</x:v>
      </x:c>
      <x:c r="I9" s="28" t="str">
        <x:v>V5_G1_CONTRACT_PACKAGE_REVIEW_ACCEPTED</x:v>
      </x:c>
      <x:c r="J9" s="28" t="str">
        <x:v>Accepts G1 contracts only; G2 authorized but not accepted; protected files unchanged</x:v>
      </x:c>
      <x:c r="K9" s="28" t="str">
        <x:v>local G1 review checkpoint; exact 8 protected S1A.2 U</x:v>
      </x:c>
      <x:c r="L9" s="28" t="str">
        <x:v>local review checkpoint (this revision)</x:v>
      </x:c>
      <x:c r="M9" s="28" t="str">
        <x:v>complete V5-G2 automated vertical loop</x:v>
      </x:c>
      <x:c r="N9" s="28" t="str">
        <x:v>No; G1 accepted and conditional G2 authorization activated</x:v>
      </x:c>
    </x:row>
    <x:row r="10">
      <x:c r="A10" t="str">
        <x:v>RUN-V5-G2-RUNTIME-CANDIDATE-001</x:v>
      </x:c>
      <x:c r="B10" t="str">
        <x:v>2026-07-30</x:v>
      </x:c>
      <x:c r="C10" t="str">
        <x:v>Main Codex / GPT-5.6 Sol</x:v>
      </x:c>
      <x:c r="D10" t="str">
        <x:v>V5-P2-T002,T003,T005,T006,T007；V5-P3-T002..T006；V5-P4-T002..T004；V5-P5-T003..T005</x:v>
      </x:c>
      <x:c r="E10" t="str">
        <x:v>bf32178 G1 review checkpoint；exact 8 protected S1A.2 U</x:v>
      </x:c>
      <x:c r="F10" t="str">
        <x:v>TrainingQueue/ArmyRegistry/encounter writeback/V2 persistence/vertical-loop/report/state/planning</x:v>
      </x:c>
      <x:c r="G10" t="str">
        <x:v>P2/P3/P4/P5 focused；cold process A/B/C；tracked/all-present；3 scenes；editor；diff/error/hash scans</x:v>
      </x:c>
      <x:c r="H10" t="str">
        <x:v>V5 6/6 166；tracked 33/33 1720；all-present 35/35 1852 assertions / 1886 PASS</x:v>
      </x:c>
      <x:c r="I10" t="str">
        <x:v>V5_G2_IMPLEMENTED_PENDING_INDEPENDENT_REVIEW</x:v>
      </x:c>
      <x:c r="J10" t="str">
        <x:v>No P6/G3/G4/V6；one active policy only；no second unit/AI/siege/new battle；S1A.2 protected</x:v>
      </x:c>
      <x:c r="K10" t="str">
        <x:v>local G2 candidate；exact 8 protected S1A.2 U</x:v>
      </x:c>
      <x:c r="L10" t="str">
        <x:v>023f11a；a95f510；8a6e65a；ee32d84；final candidate this revision</x:v>
      </x:c>
      <x:c r="M10" t="str">
        <x:v>independent V5-G2 runtime package review</x:v>
      </x:c>
      <x:c r="N10" t="str">
        <x:v>Independent review required before V5-G2 VERIFIED</x:v>
      </x:c>
    </x:row>
    <x:row r="11">
      <x:c r="A11" t="str">
        <x:v>RUN-V5-G2-FRESH-INDEPENDENT-REVIEW-003</x:v>
      </x:c>
      <x:c r="B11" t="str">
        <x:v>2026-07-31</x:v>
      </x:c>
      <x:c r="C11" t="str">
        <x:v>/root/v5_g2_boundary_fresh_independent_reviewer_003 / GPT-5.6 Sol high</x:v>
      </x:c>
      <x:c r="D11" t="str">
        <x:v>V5-P2-T002,V5-P2-T003,V5-P2-T005,V5-P2-T006,V5-P2-T007,V5-P3-T002,V5-P3-T003,V5-P3-T004,V5-P3-T005,V5-P3-T006,V5-P4-T002,V5-P4-T003,V5-P4-T004,V5-P5-T003,V5-P5-T004,V5-P5-T005</x:v>
      </x:c>
      <x:c r="E11" t="str">
        <x:v>4d0fbfc5aefe07509db115f8f4f68e22aeda8a98；exact 8 protected S1A.2 U；index empty</x:v>
      </x:c>
      <x:c r="F11" t="str">
        <x:v>Review 003 + CURRENT_STATE + planning workbook/MD/CSV synchronization only</x:v>
      </x:c>
      <x:c r="G11" t="str">
        <x:v>commit-chain/ancestor/index/hash/four-file diff；fresh adversarial probe；focused/tracked/all-present；cold A/B/C；formal scenes/editor/diff/error；13-sheet workbook audit</x:v>
      </x:c>
      <x:c r="H11" t="str">
        <x:v>probe 29/29；P5 51/51；focused 6/6 185；tracked 33/33 1739；all-present 35/35 1871 assertions / 1905 PASS；cold A/B/C 0/0/0</x:v>
      </x:c>
      <x:c r="I11" t="str">
        <x:v>V5_G2_RUNTIME_PACKAGE_REVIEW_ACCEPTED</x:v>
      </x:c>
      <x:c r="J11" t="str">
        <x:v>Accepts exact 16 runtime tasks and V5-G2 only；no P4-T005/P6/P7/G3-G6/V6；no source changes；S1A.2 protected</x:v>
      </x:c>
      <x:c r="K11" t="str">
        <x:v>local acceptance checkpoint；exact 8 protected S1A.2 U</x:v>
      </x:c>
      <x:c r="L11" t="str">
        <x:v>acceptance checkpoint containing this planning revision</x:v>
      </x:c>
      <x:c r="M11" t="str">
        <x:v>Stop before G3；await separately authorized Markdown convergence</x:v>
      </x:c>
      <x:c r="N11" t="str">
        <x:v>No；do not enter G3/push/deploy</x:v>
      </x:c>
    </x:row>
  </x:sheetData>
  <x:mergeCells>
    <x:mergeCell ref="A1:N1"/>
    <x:mergeCell ref="A2:N2"/>
  </x:mergeCells>
  <x:conditionalFormatting sqref="I5:I6">
    <x:cfRule type="containsText" dxfId="58" priority="2" aboveAverage="0" percent="0" bottom="0" operator="containsText" text="BLOCKED" rank="0" equalAverage="0">
      <x:formula>NOT(ISERROR(SEARCH("BLOCKED",I5)))</x:formula>
    </x:cfRule>
    <x:cfRule type="containsText" dxfId="59" priority="3" aboveAverage="0" percent="0" bottom="0" operator="containsText" text="REVIEW_FAILED" rank="0" equalAverage="0">
      <x:formula>NOT(ISERROR(SEARCH("REVIEW_FAILED",I5)))</x:formula>
    </x:cfRule>
    <x:cfRule type="containsText" dxfId="60" priority="4" aboveAverage="0" percent="0" bottom="0" operator="containsText" text="READY" rank="0" equalAverage="0">
      <x:formula>NOT(ISERROR(SEARCH("READY",I5)))</x:formula>
    </x:cfRule>
    <x:cfRule type="containsText" dxfId="61" priority="5" aboveAverage="0" percent="0" bottom="0" operator="containsText" text="IN_PROGRESS" rank="0" equalAverage="0">
      <x:formula>NOT(ISERROR(SEARCH("IN_PROGRESS",I5)))</x:formula>
    </x:cfRule>
    <x:cfRule type="containsText" dxfId="62" priority="6" aboveAverage="0" percent="0" bottom="0" operator="containsText" text="IMPLEMENTED_PENDING_REVIEW" rank="0" equalAverage="0">
      <x:formula>NOT(ISERROR(SEARCH("IMPLEMENTED_PENDING_REVIEW",I5)))</x:formula>
    </x:cfRule>
    <x:cfRule type="containsText" dxfId="63" priority="7" aboveAverage="0" percent="0" bottom="0" operator="containsText" text="VERIFIED" rank="0" equalAverage="0">
      <x:formula>NOT(ISERROR(SEARCH("VERIFIED",I5)))</x:formula>
    </x:cfRule>
    <x:cfRule type="containsText" dxfId="64" priority="8" aboveAverage="0" percent="0" bottom="0" operator="containsText" text="DEFERRED" rank="0" equalAverage="0">
      <x:formula>NOT(ISERROR(SEARCH("DEFERRED",I5)))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4d04ce0e214c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1.479999542236328" hidden="0" customWidth="1"/>
    <x:col min="2" max="2" width="28.649999618530273" hidden="0" customWidth="1"/>
    <x:col min="3" max="3" width="33.41999816894531" hidden="0" customWidth="1"/>
    <x:col min="4" max="5" width="50.130001068115234" hidden="0" customWidth="1"/>
    <x:col min="6" max="6" width="42.970001220703125" hidden="0" customWidth="1"/>
    <x:col min="7" max="7" width="62.060001373291016" hidden="0" customWidth="1"/>
    <x:col min="8" max="8" width="16.709999084472656" hidden="0" customWidth="1"/>
    <x:col min="9" max="9" width="14.329999923706055" hidden="0" customWidth="1"/>
    <x:col min="10" max="11" width="50.130001068115234" hidden="0" customWidth="1"/>
    <x:col min="12" max="12" width="53.709999084472656" hidden="0" customWidth="1"/>
    <x:col min="13" max="13" width="35.810001373291016" hidden="0" customWidth="1"/>
    <x:col min="14" max="14" width="33.41999816894531" hidden="0" customWidth="1"/>
  </x:cols>
  <x:sheetData>
    <x:row r="1" ht="28" hidden="0" customHeight="1">
      <x:c r="A1" s="17" t="s">
        <x:v>1365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34" hidden="0" customHeight="1">
      <x:c r="A2" s="18" t="s">
        <x:v>1366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 ht="15" hidden="0">
      <x:c r="A4" s="20" t="s">
        <x:v>1367</x:v>
      </x:c>
      <x:c r="B4" s="14" t="s">
        <x:v>1368</x:v>
      </x:c>
      <x:c r="C4" s="14" t="s">
        <x:v>1369</x:v>
      </x:c>
      <x:c r="D4" s="14" t="s">
        <x:v>1370</x:v>
      </x:c>
      <x:c r="E4" s="14" t="s">
        <x:v>272</x:v>
      </x:c>
      <x:c r="F4" s="14" t="s">
        <x:v>1371</x:v>
      </x:c>
      <x:c r="G4" s="14" t="s">
        <x:v>1372</x:v>
      </x:c>
      <x:c r="H4" s="14" t="s">
        <x:v>1373</x:v>
      </x:c>
      <x:c r="I4" s="14" t="s">
        <x:v>1374</x:v>
      </x:c>
      <x:c r="J4" s="14" t="s">
        <x:v>1375</x:v>
      </x:c>
      <x:c r="K4" s="14" t="s">
        <x:v>1376</x:v>
      </x:c>
      <x:c r="L4" s="14" t="s">
        <x:v>1377</x:v>
      </x:c>
      <x:c r="M4" s="14" t="s">
        <x:v>1378</x:v>
      </x:c>
      <x:c r="N4" s="21" t="s">
        <x:v>1379</x:v>
      </x:c>
    </x:row>
    <x:row r="5" ht="44" hidden="0" customHeight="1">
      <x:c r="A5" s="7" t="s">
        <x:v>1380</x:v>
      </x:c>
      <x:c r="B5" s="7" t="s">
        <x:v>1381</x:v>
      </x:c>
      <x:c r="C5" s="7" t="s">
        <x:v>1382</x:v>
      </x:c>
      <x:c r="D5" s="7" t="s">
        <x:v>1383</x:v>
      </x:c>
      <x:c r="E5" s="7" t="s">
        <x:v>1384</x:v>
      </x:c>
      <x:c r="F5" s="8" t="s">
        <x:v>1385</x:v>
      </x:c>
      <x:c r="G5" s="7" t="s">
        <x:v>1386</x:v>
      </x:c>
      <x:c r="H5" s="7" t="s">
        <x:v>1387</x:v>
      </x:c>
      <x:c r="I5" s="7" t="s">
        <x:v>1388</x:v>
      </x:c>
      <x:c r="J5" s="8" t="s">
        <x:v>1389</x:v>
      </x:c>
      <x:c r="K5" s="8" t="s">
        <x:v>1390</x:v>
      </x:c>
      <x:c r="L5" s="8" t="s">
        <x:v>1391</x:v>
      </x:c>
      <x:c r="M5" s="7" t="s">
        <x:v>1392</x:v>
      </x:c>
      <x:c r="N5" s="7" t="s">
        <x:v>1393</x:v>
      </x:c>
    </x:row>
    <x:row r="6" ht="44" hidden="0" customHeight="1">
      <x:c r="A6" s="9" t="s">
        <x:v>1394</x:v>
      </x:c>
      <x:c r="B6" s="9" t="s">
        <x:v>1395</x:v>
      </x:c>
      <x:c r="C6" s="9" t="s">
        <x:v>1396</x:v>
      </x:c>
      <x:c r="D6" s="9" t="s">
        <x:v>1397</x:v>
      </x:c>
      <x:c r="E6" s="9" t="s">
        <x:v>1398</x:v>
      </x:c>
      <x:c r="F6" s="10" t="s">
        <x:v>1399</x:v>
      </x:c>
      <x:c r="G6" s="10" t="s">
        <x:v>1400</x:v>
      </x:c>
      <x:c r="H6" s="10" t="s">
        <x:v>1401</x:v>
      </x:c>
      <x:c r="I6" s="9" t="s">
        <x:v>1402</x:v>
      </x:c>
      <x:c r="J6" s="10" t="s">
        <x:v>1403</x:v>
      </x:c>
      <x:c r="K6" s="10" t="s">
        <x:v>1404</x:v>
      </x:c>
      <x:c r="L6" s="10" t="s">
        <x:v>1405</x:v>
      </x:c>
      <x:c r="M6" s="9" t="s">
        <x:v>1406</x:v>
      </x:c>
      <x:c r="N6" s="9" t="s">
        <x:v>1407</x:v>
      </x:c>
    </x:row>
    <x:row r="7" ht="44" hidden="0" customHeight="1">
      <x:c r="A7" s="9" t="s">
        <x:v>402</x:v>
      </x:c>
      <x:c r="B7" s="9" t="s">
        <x:v>336</x:v>
      </x:c>
      <x:c r="C7" s="9" t="s">
        <x:v>1408</x:v>
      </x:c>
      <x:c r="D7" s="9" t="s">
        <x:v>1409</x:v>
      </x:c>
      <x:c r="E7" s="9" t="s">
        <x:v>1410</x:v>
      </x:c>
      <x:c r="F7" s="10" t="s">
        <x:v>1411</x:v>
      </x:c>
      <x:c r="G7" s="10" t="s">
        <x:v>1412</x:v>
      </x:c>
      <x:c r="H7" s="9" t="s">
        <x:v>1387</x:v>
      </x:c>
      <x:c r="I7" s="9" t="s">
        <x:v>1388</x:v>
      </x:c>
      <x:c r="J7" s="10" t="s">
        <x:v>1413</x:v>
      </x:c>
      <x:c r="K7" s="9" t="s">
        <x:v>1414</x:v>
      </x:c>
      <x:c r="L7" s="10" t="s">
        <x:v>1415</x:v>
      </x:c>
      <x:c r="M7" s="9" t="s">
        <x:v>1416</x:v>
      </x:c>
      <x:c r="N7" s="9" t="s">
        <x:v>1417</x:v>
      </x:c>
    </x:row>
    <x:row r="8" ht="15" hidden="0">
      <x:c r="A8" s="26" t="str">
        <x:v>RVW-V5-P0-P1-002</x:v>
      </x:c>
      <x:c r="B8" s="26" t="str">
        <x:v>/root</x:v>
      </x:c>
      <x:c r="C8" s="26" t="str">
        <x:v>V5-P0-T001..T005,V5-P1-T001..T006</x:v>
      </x:c>
      <x:c r="D8" s="27" t="str">
        <x:v>bd15fcab1fef11841136ca900d6cce31db8966aa；parent 242f79313b754894590c0f531998bf0517b3707d；exact 4-file manifest</x:v>
      </x:c>
      <x:c r="E8" s="26" t="str">
        <x:v>dispatchable gate; exact 10/12 boundary; conservation; compatibility; UI/coordinator authority; V4/C0 regression; protected hashes</x:v>
      </x:c>
      <x:c r="F8" s="27" t="str">
        <x:v>10 independent probe assertions；27 V5；29/29 tracked 1601；30/30 all-present 1713 assertions / 1742 PASS；scenes/editor/diff/error scan</x:v>
      </x:c>
      <x:c r="G8" t="str">
        <x:v>No blocking finding; initial probe draft parse error discarded and corrected</x:v>
      </x:c>
      <x:c r="H8" s="26" t="str">
        <x:v>NONE</x:v>
      </x:c>
      <x:c r="I8" s="26" t="str">
        <x:v>NO</x:v>
      </x:c>
      <x:c r="J8" s="27" t="str">
        <x:v>/tmp/txwzs-v5-g0-review-002.BlGA2l</x:v>
      </x:c>
      <x:c r="K8" t="str">
        <x:v>Accept repaired package and enter G1 contracts only</x:v>
      </x:c>
      <x:c r="L8" s="27" t="str">
        <x:v>Repair 001 committed as bd15fca</x:v>
      </x:c>
      <x:c r="M8" s="27" t="str">
        <x:v>capacity bypass CLOSED; exact hashes/parent/report consistent</x:v>
      </x:c>
      <x:c r="N8" s="26" t="str">
        <x:v>V5_P0_P1_PACKAGE_REVIEW_ACCEPTED</x:v>
      </x:c>
    </x:row>
    <x:row r="9">
      <x:c r="A9" t="str">
        <x:v>RVW-V5-G1-001</x:v>
      </x:c>
      <x:c r="B9" t="str">
        <x:v>/root</x:v>
      </x:c>
      <x:c r="C9" t="str">
        <x:v>V5-P2-T001,V5-P2-T004,V5-P3-T001,V5-P4-T001,V5-P5-T001,V5-P5-T002</x:v>
      </x:c>
      <x:c r="D9" t="str">
        <x:v>b3a7f03055350f25caa14dee8a630cf3b004d028；parent 2cc4ebf01622b424ff4a4cd145c421b8fd1bbec3；exact 16-file manifest</x:v>
      </x:c>
      <x:c r="E9" t="str">
        <x:v>single writers; time/queue authority; collection not singleton; fact/writeback boundary; V1 reuse; schema/migration/rollback; cross-contract consistency</x:v>
      </x:c>
      <x:c r="F9" t="str">
        <x:v>51/51 baseline；30/30 cross；V5 27；tracked 29/29 1601；all-present 30/30 1713 / 1742；scenes/editor/workbook/diff/error</x:v>
      </x:c>
      <x:c r="G9" t="str">
        <x:v>No blocking or non-blocking finding</x:v>
      </x:c>
      <x:c r="H9" t="str">
        <x:v>NONE</x:v>
      </x:c>
      <x:c r="I9" t="str">
        <x:v>NO</x:v>
      </x:c>
      <x:c r="J9" t="str">
        <x:v>/tmp/txwzs-v5-g1-independent-review-001.MJhd1Y</x:v>
      </x:c>
      <x:c r="K9" t="str">
        <x:v>Accept G1 and activate conditional G2 authorization</x:v>
      </x:c>
      <x:c r="L9" t="str">
        <x:v>No repair required</x:v>
      </x:c>
      <x:c r="M9" t="str">
        <x:v>Candidate hashes and protected state unchanged</x:v>
      </x:c>
      <x:c r="N9" t="str">
        <x:v>V5_G1_CONTRACT_PACKAGE_REVIEW_ACCEPTED</x:v>
      </x:c>
    </x:row>
    <x:row r="10">
      <x:c r="A10" t="str">
        <x:v>RVW-V5-G2-001</x:v>
      </x:c>
      <x:c r="B10" t="str">
        <x:v>/root/v5_g2_independent_reviewer</x:v>
      </x:c>
      <x:c r="C10" t="str">
        <x:v>V5-P2-T002,V5-P2-T003,V5-P2-T005,V5-P2-T006,V5-P2-T007,V5-P3-T002,V5-P3-T003,V5-P3-T004,V5-P3-T005,V5-P3-T006,V5-P4-T002,V5-P4-T003,V5-P4-T004,V5-P5-T003,V5-P5-T004,V5-P5-T005</x:v>
      </x:c>
      <x:c r="D10" t="str">
        <x:v>reviewed cd7be2b4e65f453889c5f49a4922f788cca08a68；parent ee32d8445b11260a26501768da2c58abca78a113；repair e2c1096f858d571d4621b93174d3848406b42ffa；G2 chain 023f11a→a95f510→8a6e65a→ee32d84→cd7be2b；40 tracked files</x:v>
      </x:c>
      <x:c r="E10" t="str">
        <x:v>stable IDs；single writers；conservation；idempotency；real BattleSession；V2 migration/generation/rollback/cold recovery；protected files</x:v>
      </x:c>
      <x:c r="F10" t="str">
        <x:v>candidate probe exit 1 with 2 assertions；repair focused 6/6 168；tracked 33/33 1722；all-present 35/35 1854 / 1888；scenes/editor/diff 0</x:v>
      </x:c>
      <x:c r="G10" t="str">
        <x:v>V2 validators accepted next_order_sequence/next_army_sequence lower than existing IDs, allowing ID reuse and historical record overwrite after restore</x:v>
      </x:c>
      <x:c r="H10" t="str">
        <x:v>CRITICAL</x:v>
      </x:c>
      <x:c r="I10" t="str">
        <x:v>YES</x:v>
      </x:c>
      <x:c r="J10" t="str">
        <x:v>P5 runner on original source: stale training and army sequence checks both FAIL；exit 1</x:v>
      </x:c>
      <x:c r="K10" t="str">
        <x:v>Validate generated ID namespace and require persisted next sequence greater than every existing sequence；retain adversarial regression</x:v>
      </x:c>
      <x:c r="L10" t="str">
        <x:v>Minimal repair e2c1096f858d571d4621b93174d3848406b42ffa applied to TrainingQueue and ArmyRegistry validators；2 permanent assertions added；full regression passed</x:v>
      </x:c>
      <x:c r="M10" t="str">
        <x:v>PENDING_FRESH_INDEPENDENT_REVIEW</x:v>
      </x:c>
      <x:c r="N10" t="str">
        <x:v>V5_G2_REPAIRED_PENDING_INDEPENDENT_REVIEW</x:v>
      </x:c>
    </x:row>
    <x:row r="11">
      <x:c r="A11" t="str">
        <x:v>RVW-V5-G2-003</x:v>
      </x:c>
      <x:c r="B11" t="str">
        <x:v>/root/v5_g2_boundary_fresh_independent_reviewer_003</x:v>
      </x:c>
      <x:c r="C11" t="str">
        <x:v>V5-P2-T002,V5-P2-T003,V5-P2-T005,V5-P2-T006,V5-P2-T007,V5-P3-T002,V5-P3-T003,V5-P3-T004,V5-P3-T005,V5-P3-T006,V5-P4-T002,V5-P4-T003,V5-P4-T004,V5-P5-T003,V5-P5-T004,V5-P5-T005</x:v>
      </x:c>
      <x:c r="D11" t="str">
        <x:v>cd7be2b4e65f453889c5f49a4922f788cca08a68 → e2c1096f858d571d4621b93174d3848406b42ffa → 5d659243 → fab962c0a84024e7034c32e9d5c39debc1659c5f → 4d0fbfc5aefe07509db115f8f4f68e22aeda8a98；repair diff exact 4 files</x:v>
      </x:c>
      <x:c r="E11" t="str">
        <x:v>stable-ID domain/type/range/exhaustion；reservation-before-failure；V1→V2 historical day；zero partial writes；disk/codec/store/cold/fallback；protected hashes</x:v>
      </x:c>
      <x:c r="F11" t="str">
        <x:v>fresh probe 29/29；P5 51/51；focused 6/6·185；tracked 33/33·1739；all-present 35/35·1871/1905；cold A/B/C 0/0/0；scenes/editor/diff/error 0</x:v>
      </x:c>
      <x:c r="G11" t="str">
        <x:v>No new substantive defect</x:v>
      </x:c>
      <x:c r="H11" t="str">
        <x:v>NONE</x:v>
      </x:c>
      <x:c r="I11" t="str">
        <x:v>NO</x:v>
      </x:c>
      <x:c r="J11" t="str">
        <x:v>fresh independent checkout-bound review; temporary probe removed after permanent coverage was confirmed</x:v>
      </x:c>
      <x:c r="K11" t="str">
        <x:v>Accept exact G2 runtime boundary and stop before G3</x:v>
      </x:c>
      <x:c r="L11" t="str">
        <x:v>fab962c four-file repair retained; no review-time source change</x:v>
      </x:c>
      <x:c r="M11" t="str">
        <x:v>ACCEPTED；candidate chain, assertions, hashes and protected state matched</x:v>
      </x:c>
      <x:c r="N11" t="str">
        <x:v>V5_G2_RUNTIME_PACKAGE_REVIEW_ACCEPTED</x:v>
      </x:c>
    </x:row>
  </x:sheetData>
  <x:mergeCells>
    <x:mergeCell ref="A1:N1"/>
    <x:mergeCell ref="A2:N2"/>
  </x:mergeCells>
  <x:conditionalFormatting sqref="N5:N7">
    <x:cfRule type="containsText" dxfId="65" priority="2" aboveAverage="0" percent="0" bottom="0" operator="containsText" text="BLOCKED" rank="0" equalAverage="0">
      <x:formula>NOT(ISERROR(SEARCH("BLOCKED",N5)))</x:formula>
    </x:cfRule>
    <x:cfRule type="containsText" dxfId="66" priority="3" aboveAverage="0" percent="0" bottom="0" operator="containsText" text="REVIEW_FAILED" rank="0" equalAverage="0">
      <x:formula>NOT(ISERROR(SEARCH("REVIEW_FAILED",N5)))</x:formula>
    </x:cfRule>
    <x:cfRule type="containsText" dxfId="67" priority="4" aboveAverage="0" percent="0" bottom="0" operator="containsText" text="READY" rank="0" equalAverage="0">
      <x:formula>NOT(ISERROR(SEARCH("READY",N5)))</x:formula>
    </x:cfRule>
    <x:cfRule type="containsText" dxfId="68" priority="5" aboveAverage="0" percent="0" bottom="0" operator="containsText" text="IN_PROGRESS" rank="0" equalAverage="0">
      <x:formula>NOT(ISERROR(SEARCH("IN_PROGRESS",N5)))</x:formula>
    </x:cfRule>
    <x:cfRule type="containsText" dxfId="69" priority="6" aboveAverage="0" percent="0" bottom="0" operator="containsText" text="IMPLEMENTED_PENDING_REVIEW" rank="0" equalAverage="0">
      <x:formula>NOT(ISERROR(SEARCH("IMPLEMENTED_PENDING_REVIEW",N5)))</x:formula>
    </x:cfRule>
    <x:cfRule type="containsText" dxfId="70" priority="7" aboveAverage="0" percent="0" bottom="0" operator="containsText" text="VERIFIED" rank="0" equalAverage="0">
      <x:formula>NOT(ISERROR(SEARCH("VERIFIED",N5)))</x:formula>
    </x:cfRule>
    <x:cfRule type="containsText" dxfId="71" priority="8" aboveAverage="0" percent="0" bottom="0" operator="containsText" text="DEFERRED" rank="0" equalAverage="0">
      <x:formula>NOT(ISERROR(SEARCH("DEFERRED",N5)))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c425451a2140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1.479999542236328" hidden="0" customWidth="1"/>
    <x:col min="2" max="2" width="14.329999923706055" hidden="0" customWidth="1"/>
    <x:col min="3" max="3" width="62.060001373291016" hidden="0" customWidth="1"/>
    <x:col min="4" max="4" width="50.130001068115234" hidden="0" customWidth="1"/>
    <x:col min="5" max="5" width="42.970001220703125" hidden="0" customWidth="1"/>
    <x:col min="6" max="6" width="57.290000915527344" hidden="0" customWidth="1"/>
    <x:col min="7" max="7" width="45.349998474121094" hidden="0" customWidth="1"/>
    <x:col min="8" max="8" width="21.479999542236328" hidden="0" customWidth="1"/>
    <x:col min="9" max="9" width="28.649999618530273" hidden="0" customWidth="1"/>
    <x:col min="10" max="10" width="16.709999084472656" hidden="0" customWidth="1"/>
    <x:col min="11" max="11" width="42.970001220703125" hidden="0" customWidth="1"/>
    <x:col min="12" max="12" width="21.479999542236328" hidden="0" customWidth="1"/>
  </x:cols>
  <x:sheetData>
    <x:row r="1" ht="28" hidden="0" customHeight="1">
      <x:c r="A1" s="17" t="s">
        <x:v>1418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4" hidden="0" customHeight="1">
      <x:c r="A2" s="18" t="s">
        <x:v>1419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15" hidden="0">
      <x:c r="A4" s="20" t="s">
        <x:v>1420</x:v>
      </x:c>
      <x:c r="B4" s="14" t="s">
        <x:v>1421</x:v>
      </x:c>
      <x:c r="C4" s="14" t="s">
        <x:v>1422</x:v>
      </x:c>
      <x:c r="D4" s="14" t="s">
        <x:v>1238</x:v>
      </x:c>
      <x:c r="E4" s="14" t="s">
        <x:v>1423</x:v>
      </x:c>
      <x:c r="F4" s="14" t="s">
        <x:v>1424</x:v>
      </x:c>
      <x:c r="G4" s="14" t="s">
        <x:v>1425</x:v>
      </x:c>
      <x:c r="H4" s="14" t="s">
        <x:v>1426</x:v>
      </x:c>
      <x:c r="I4" s="14" t="s">
        <x:v>1427</x:v>
      </x:c>
      <x:c r="J4" s="14" t="s">
        <x:v>1333</x:v>
      </x:c>
      <x:c r="K4" s="14" t="s">
        <x:v>1428</x:v>
      </x:c>
      <x:c r="L4" s="21" t="s">
        <x:v>282</x:v>
      </x:c>
    </x:row>
    <x:row r="5" ht="44" hidden="0" customHeight="1">
      <x:c r="A5" s="7" t="s">
        <x:v>1429</x:v>
      </x:c>
      <x:c r="B5" s="7" t="s">
        <x:v>281</x:v>
      </x:c>
      <x:c r="C5" s="7" t="s">
        <x:v>1430</x:v>
      </x:c>
      <x:c r="D5" s="7" t="s">
        <x:v>1431</x:v>
      </x:c>
      <x:c r="E5" s="7" t="s">
        <x:v>1432</x:v>
      </x:c>
      <x:c r="F5" s="7" t="s">
        <x:v>1433</x:v>
      </x:c>
      <x:c r="G5" s="8" t="s">
        <x:v>1434</x:v>
      </x:c>
      <x:c r="H5" s="8" t="s">
        <x:v>1275</x:v>
      </x:c>
      <x:c r="I5" s="7" t="s">
        <x:v>1435</x:v>
      </x:c>
      <x:c r="J5" s="24" t="s">
        <x:v>338</x:v>
      </x:c>
      <x:c r="K5" s="7" t="s">
        <x:v>1436</x:v>
      </x:c>
      <x:c r="L5" s="7" t="s">
        <x:v>1437</x:v>
      </x:c>
    </x:row>
    <x:row r="6" ht="44" hidden="0" customHeight="1">
      <x:c r="A6" s="9" t="s">
        <x:v>1438</x:v>
      </x:c>
      <x:c r="B6" s="9" t="s">
        <x:v>281</x:v>
      </x:c>
      <x:c r="C6" s="9" t="s">
        <x:v>1439</x:v>
      </x:c>
      <x:c r="D6" s="9" t="s">
        <x:v>1440</x:v>
      </x:c>
      <x:c r="E6" s="10" t="s">
        <x:v>1441</x:v>
      </x:c>
      <x:c r="F6" s="9" t="s">
        <x:v>1442</x:v>
      </x:c>
      <x:c r="G6" s="10" t="s">
        <x:v>1443</x:v>
      </x:c>
      <x:c r="H6" s="10" t="s">
        <x:v>1275</x:v>
      </x:c>
      <x:c r="I6" s="9" t="s">
        <x:v>1435</x:v>
      </x:c>
      <x:c r="J6" s="25" t="s">
        <x:v>338</x:v>
      </x:c>
      <x:c r="K6" s="9" t="s">
        <x:v>423</x:v>
      </x:c>
      <x:c r="L6" s="9" t="s">
        <x:v>1437</x:v>
      </x:c>
    </x:row>
    <x:row r="7" ht="44" hidden="0" customHeight="1">
      <x:c r="A7" s="9" t="s">
        <x:v>1444</x:v>
      </x:c>
      <x:c r="B7" s="9" t="s">
        <x:v>281</x:v>
      </x:c>
      <x:c r="C7" s="9" t="s">
        <x:v>1445</x:v>
      </x:c>
      <x:c r="D7" s="10" t="s">
        <x:v>1446</x:v>
      </x:c>
      <x:c r="E7" s="10" t="s">
        <x:v>1447</x:v>
      </x:c>
      <x:c r="F7" s="9" t="s">
        <x:v>1448</x:v>
      </x:c>
      <x:c r="G7" s="10" t="s">
        <x:v>1449</x:v>
      </x:c>
      <x:c r="H7" s="10" t="s">
        <x:v>1450</x:v>
      </x:c>
      <x:c r="I7" s="9" t="s">
        <x:v>1451</x:v>
      </x:c>
      <x:c r="J7" s="25" t="s">
        <x:v>338</x:v>
      </x:c>
      <x:c r="K7" s="9" t="s">
        <x:v>1452</x:v>
      </x:c>
      <x:c r="L7" s="9" t="s">
        <x:v>1437</x:v>
      </x:c>
    </x:row>
    <x:row r="8" ht="44" hidden="0" customHeight="1">
      <x:c r="A8" s="9" t="s">
        <x:v>1453</x:v>
      </x:c>
      <x:c r="B8" s="9" t="s">
        <x:v>281</x:v>
      </x:c>
      <x:c r="C8" s="9" t="s">
        <x:v>1454</x:v>
      </x:c>
      <x:c r="D8" s="9" t="str">
        <x:v>8 protected untracked files hash-identical；V5 writer/migrator uses separate V2 implementation</x:v>
      </x:c>
      <x:c r="E8" s="10" t="s">
        <x:v>1455</x:v>
      </x:c>
      <x:c r="F8" s="9" t="str">
        <x:v>P5 read-only verdict: reuse storage mechanics and V1 reader; block direct V5 writer/schema adoption.</x:v>
      </x:c>
      <x:c r="G8" s="10" t="str">
        <x:v>避免把早期城市严格 schema 误当作完整 V5 存档，同时保留已验证的故障安全机制。</x:v>
      </x:c>
      <x:c r="H8" s="10" t="s">
        <x:v>1275</x:v>
      </x:c>
      <x:c r="I8" s="9" t="s">
        <x:v>1456</x:v>
      </x:c>
      <x:c r="J8" s="25" t="s">
        <x:v>338</x:v>
      </x:c>
      <x:c r="K8" s="9" t="s">
        <x:v>624</x:v>
      </x:c>
      <x:c r="L8" s="9" t="str">
        <x:v>MITIGATED</x:v>
      </x:c>
    </x:row>
    <x:row r="9" ht="44" hidden="0" customHeight="1">
      <x:c r="A9" s="9" t="s">
        <x:v>1457</x:v>
      </x:c>
      <x:c r="B9" s="9" t="s">
        <x:v>281</x:v>
      </x:c>
      <x:c r="C9" s="10" t="s">
        <x:v>1458</x:v>
      </x:c>
      <x:c r="D9" s="9" t="str">
        <x:v>P3/P4/vertical-loop idempotency and conflict runners；all-present 35/35</x:v>
      </x:c>
      <x:c r="E9" s="10" t="s">
        <x:v>1459</x:v>
      </x:c>
      <x:c r="F9" s="9" t="s">
        <x:v>1460</x:v>
      </x:c>
      <x:c r="G9" s="10" t="s">
        <x:v>1461</x:v>
      </x:c>
      <x:c r="H9" s="10" t="s">
        <x:v>1275</x:v>
      </x:c>
      <x:c r="I9" s="9" t="s">
        <x:v>1462</x:v>
      </x:c>
      <x:c r="J9" s="25" t="s">
        <x:v>338</x:v>
      </x:c>
      <x:c r="K9" s="9" t="s">
        <x:v>1149</x:v>
      </x:c>
      <x:c r="L9" s="9" t="str">
        <x:v>MITIGATED</x:v>
      </x:c>
    </x:row>
    <x:row r="10" ht="44" hidden="0" customHeight="1">
      <x:c r="A10" s="9" t="s">
        <x:v>1463</x:v>
      </x:c>
      <x:c r="B10" s="9" t="s">
        <x:v>1424</x:v>
      </x:c>
      <x:c r="C10" s="10" t="s">
        <x:v>1464</x:v>
      </x:c>
      <x:c r="D10" s="10" t="s">
        <x:v>1465</x:v>
      </x:c>
      <x:c r="E10" s="10" t="s">
        <x:v>1466</x:v>
      </x:c>
      <x:c r="F10" s="10" t="s">
        <x:v>1467</x:v>
      </x:c>
      <x:c r="G10" s="10" t="s">
        <x:v>1468</x:v>
      </x:c>
      <x:c r="H10" s="10" t="s">
        <x:v>1469</x:v>
      </x:c>
      <x:c r="I10" s="9" t="s">
        <x:v>1470</x:v>
      </x:c>
      <x:c r="J10" s="25" t="s">
        <x:v>338</x:v>
      </x:c>
      <x:c r="K10" s="9" t="s">
        <x:v>520</x:v>
      </x:c>
      <x:c r="L10" s="9" t="str">
        <x:v>ACCEPTED</x:v>
      </x:c>
    </x:row>
    <x:row r="11" ht="44" hidden="0" customHeight="1">
      <x:c r="A11" s="9" t="s">
        <x:v>1471</x:v>
      </x:c>
      <x:c r="B11" s="9" t="s">
        <x:v>1424</x:v>
      </x:c>
      <x:c r="C11" s="10" t="s">
        <x:v>1472</x:v>
      </x:c>
      <x:c r="D11" s="10" t="s">
        <x:v>1473</x:v>
      </x:c>
      <x:c r="E11" s="10" t="s">
        <x:v>1474</x:v>
      </x:c>
      <x:c r="F11" s="9" t="s">
        <x:v>1475</x:v>
      </x:c>
      <x:c r="G11" s="10" t="s">
        <x:v>1476</x:v>
      </x:c>
      <x:c r="H11" s="10" t="s">
        <x:v>1275</x:v>
      </x:c>
      <x:c r="I11" s="9" t="s">
        <x:v>1435</x:v>
      </x:c>
      <x:c r="J11" s="25" t="s">
        <x:v>338</x:v>
      </x:c>
      <x:c r="K11" s="9" t="s">
        <x:v>1477</x:v>
      </x:c>
      <x:c r="L11" s="9" t="str">
        <x:v>ACCEPTED</x:v>
      </x:c>
    </x:row>
    <x:row r="12" ht="44" hidden="0" customHeight="1">
      <x:c r="A12" s="9" t="s">
        <x:v>1478</x:v>
      </x:c>
      <x:c r="B12" s="9" t="s">
        <x:v>281</x:v>
      </x:c>
      <x:c r="C12" s="10" t="s">
        <x:v>1479</x:v>
      </x:c>
      <x:c r="D12" s="9" t="s">
        <x:v>1480</x:v>
      </x:c>
      <x:c r="E12" s="10" t="s">
        <x:v>1481</x:v>
      </x:c>
      <x:c r="F12" s="9" t="s">
        <x:v>1482</x:v>
      </x:c>
      <x:c r="G12" s="10" t="s">
        <x:v>1483</x:v>
      </x:c>
      <x:c r="H12" s="10" t="s">
        <x:v>1275</x:v>
      </x:c>
      <x:c r="I12" s="9" t="s">
        <x:v>1484</x:v>
      </x:c>
      <x:c r="J12" s="25" t="s">
        <x:v>338</x:v>
      </x:c>
      <x:c r="K12" s="9" t="s">
        <x:v>1485</x:v>
      </x:c>
      <x:c r="L12" s="9" t="s">
        <x:v>1437</x:v>
      </x:c>
    </x:row>
    <x:row r="13" ht="44" hidden="0" customHeight="1">
      <x:c r="A13" s="9" t="s">
        <x:v>1486</x:v>
      </x:c>
      <x:c r="B13" s="9" t="s">
        <x:v>281</x:v>
      </x:c>
      <x:c r="C13" s="10" t="s">
        <x:v>1487</x:v>
      </x:c>
      <x:c r="D13" s="9" t="s">
        <x:v>1488</x:v>
      </x:c>
      <x:c r="E13" s="10" t="s">
        <x:v>1489</x:v>
      </x:c>
      <x:c r="F13" s="9" t="s">
        <x:v>1490</x:v>
      </x:c>
      <x:c r="G13" s="10" t="s">
        <x:v>1491</x:v>
      </x:c>
      <x:c r="H13" s="10" t="s">
        <x:v>1492</x:v>
      </x:c>
      <x:c r="I13" s="9" t="s">
        <x:v>1493</x:v>
      </x:c>
      <x:c r="J13" s="25" t="s">
        <x:v>338</x:v>
      </x:c>
      <x:c r="K13" s="9" t="s">
        <x:v>320</x:v>
      </x:c>
      <x:c r="L13" s="9" t="s">
        <x:v>1494</x:v>
      </x:c>
    </x:row>
    <x:row r="14" ht="44" hidden="0" customHeight="1">
      <x:c r="A14" s="9" t="s">
        <x:v>1495</x:v>
      </x:c>
      <x:c r="B14" s="9" t="s">
        <x:v>281</x:v>
      </x:c>
      <x:c r="C14" s="10" t="s">
        <x:v>1496</x:v>
      </x:c>
      <x:c r="D14" s="9" t="s">
        <x:v>1497</x:v>
      </x:c>
      <x:c r="E14" s="10" t="s">
        <x:v>1498</x:v>
      </x:c>
      <x:c r="F14" s="10" t="s">
        <x:v>1499</x:v>
      </x:c>
      <x:c r="G14" s="10" t="s">
        <x:v>1500</x:v>
      </x:c>
      <x:c r="H14" s="10" t="s">
        <x:v>1469</x:v>
      </x:c>
      <x:c r="I14" s="9" t="s">
        <x:v>1493</x:v>
      </x:c>
      <x:c r="J14" s="25" t="s">
        <x:v>338</x:v>
      </x:c>
      <x:c r="K14" s="9" t="s">
        <x:v>404</x:v>
      </x:c>
      <x:c r="L14" s="9" t="s">
        <x:v>1437</x:v>
      </x:c>
    </x:row>
    <x:row r="15" ht="44" hidden="0" customHeight="1">
      <x:c r="A15" s="9" t="s">
        <x:v>1501</x:v>
      </x:c>
      <x:c r="B15" s="9" t="s">
        <x:v>281</x:v>
      </x:c>
      <x:c r="C15" s="10" t="s">
        <x:v>1502</x:v>
      </x:c>
      <x:c r="D15" s="9" t="s">
        <x:v>1503</x:v>
      </x:c>
      <x:c r="E15" s="10" t="s">
        <x:v>1504</x:v>
      </x:c>
      <x:c r="F15" s="9" t="s">
        <x:v>1505</x:v>
      </x:c>
      <x:c r="G15" s="10" t="s">
        <x:v>1506</x:v>
      </x:c>
      <x:c r="H15" s="10" t="s">
        <x:v>1469</x:v>
      </x:c>
      <x:c r="I15" s="9" t="s">
        <x:v>1507</x:v>
      </x:c>
      <x:c r="J15" s="25" t="s">
        <x:v>338</x:v>
      </x:c>
      <x:c r="K15" s="9" t="s">
        <x:v>1508</x:v>
      </x:c>
      <x:c r="L15" s="9" t="s">
        <x:v>1437</x:v>
      </x:c>
    </x:row>
    <x:row r="16" ht="44" hidden="0" customHeight="1">
      <x:c r="A16" s="9" t="s">
        <x:v>1509</x:v>
      </x:c>
      <x:c r="B16" s="9" t="s">
        <x:v>1424</x:v>
      </x:c>
      <x:c r="C16" s="10" t="s">
        <x:v>1510</x:v>
      </x:c>
      <x:c r="D16" s="10" t="s">
        <x:v>1511</x:v>
      </x:c>
      <x:c r="E16" s="10" t="s">
        <x:v>1512</x:v>
      </x:c>
      <x:c r="F16" s="10" t="s">
        <x:v>1513</x:v>
      </x:c>
      <x:c r="G16" s="10" t="s">
        <x:v>1514</x:v>
      </x:c>
      <x:c r="H16" s="10" t="s">
        <x:v>1275</x:v>
      </x:c>
      <x:c r="I16" s="9" t="s">
        <x:v>360</x:v>
      </x:c>
      <x:c r="J16" s="25" t="s">
        <x:v>338</x:v>
      </x:c>
      <x:c r="K16" s="9" t="s">
        <x:v>1515</x:v>
      </x:c>
      <x:c r="L16" s="9" t="s">
        <x:v>1100</x:v>
      </x:c>
    </x:row>
    <x:row r="17" ht="44" hidden="0" customHeight="1">
      <x:c r="A17" s="9" t="s">
        <x:v>1516</x:v>
      </x:c>
      <x:c r="B17" s="9" t="s">
        <x:v>1424</x:v>
      </x:c>
      <x:c r="C17" s="10" t="s">
        <x:v>1517</x:v>
      </x:c>
      <x:c r="D17" s="10" t="s">
        <x:v>1518</x:v>
      </x:c>
      <x:c r="E17" s="10" t="s">
        <x:v>1519</x:v>
      </x:c>
      <x:c r="F17" s="10" t="s">
        <x:v>1520</x:v>
      </x:c>
      <x:c r="G17" s="10" t="s">
        <x:v>1521</x:v>
      </x:c>
      <x:c r="H17" s="10" t="s">
        <x:v>1492</x:v>
      </x:c>
      <x:c r="I17" s="9" t="s">
        <x:v>360</x:v>
      </x:c>
      <x:c r="J17" s="25" t="s">
        <x:v>338</x:v>
      </x:c>
      <x:c r="K17" s="9" t="s">
        <x:v>404</x:v>
      </x:c>
      <x:c r="L17" s="9" t="s">
        <x:v>1100</x:v>
      </x:c>
    </x:row>
    <x:row r="18" ht="44" hidden="0" customHeight="1">
      <x:c r="A18" s="9" t="s">
        <x:v>1522</x:v>
      </x:c>
      <x:c r="B18" s="9" t="s">
        <x:v>1424</x:v>
      </x:c>
      <x:c r="C18" s="10" t="s">
        <x:v>1523</x:v>
      </x:c>
      <x:c r="D18" s="10" t="s">
        <x:v>1518</x:v>
      </x:c>
      <x:c r="E18" s="10" t="s">
        <x:v>1524</x:v>
      </x:c>
      <x:c r="F18" s="9" t="s">
        <x:v>1525</x:v>
      </x:c>
      <x:c r="G18" s="10" t="s">
        <x:v>1526</x:v>
      </x:c>
      <x:c r="H18" s="10" t="s">
        <x:v>1492</x:v>
      </x:c>
      <x:c r="I18" s="9" t="s">
        <x:v>1493</x:v>
      </x:c>
      <x:c r="J18" s="25" t="s">
        <x:v>338</x:v>
      </x:c>
      <x:c r="K18" s="9" t="s">
        <x:v>383</x:v>
      </x:c>
      <x:c r="L18" s="9" t="s">
        <x:v>1100</x:v>
      </x:c>
    </x:row>
    <x:row r="19" ht="15" hidden="0">
      <x:c r="A19" s="26" t="s">
        <x:v>1527</x:v>
      </x:c>
      <x:c r="B19" s="26" t="s">
        <x:v>1424</x:v>
      </x:c>
      <x:c r="C19" s="27" t="s">
        <x:v>1528</x:v>
      </x:c>
      <x:c r="D19" t="s">
        <x:v>1529</x:v>
      </x:c>
      <x:c r="E19" t="s">
        <x:v>1530</x:v>
      </x:c>
      <x:c r="F19" t="s">
        <x:v>1531</x:v>
      </x:c>
      <x:c r="G19" t="s">
        <x:v>1532</x:v>
      </x:c>
      <x:c r="H19" t="s">
        <x:v>1492</x:v>
      </x:c>
      <x:c r="I19" s="26" t="s">
        <x:v>360</x:v>
      </x:c>
      <x:c r="J19" s="26" t="s">
        <x:v>316</x:v>
      </x:c>
      <x:c r="K19" s="26" t="s">
        <x:v>1533</x:v>
      </x:c>
      <x:c r="L19" s="26" t="s">
        <x:v>1100</x:v>
      </x:c>
    </x:row>
    <x:row r="20">
      <x:c r="A20" t="str">
        <x:v>RISK-012</x:v>
      </x:c>
      <x:c r="B20" t="str">
        <x:v>Risk</x:v>
      </x:c>
      <x:c r="C20" t="str">
        <x:v>V2 aggregate validator 若只检查 next sequence 为正而不高于既有 stable ID，冷恢复后的新训练/派遣会复用 ID 并覆盖历史记录。</x:v>
      </x:c>
      <x:c r="D20" t="str">
        <x:v>docs/reports/TXWZS_V5_G2_RUNTIME_PACKAGE_INDEPENDENT_REVIEW_001.md；fab962c0a84024e7034c32e9d5c39debc1659c5f；docs/reports/TXWZS_V5_G2_STABLE_ID_BOUNDARY_REPAIR_FRESH_INDEPENDENT_REVIEW_003.md；fresh probe 29/29</x:v>
      </x:c>
      <x:c r="E20" t="str">
        <x:v>接受并依赖 checksum；仅修 writer；在 domain validator 强制单调 sequence</x:v>
      </x:c>
      <x:c r="F20" t="str">
        <x:v>TrainingQueue/ArmyRegistry validator 严格拒绝错误类型、范围、回退与 exhausted successor；Army 创建在 reservation/transaction/garrison 写入前失败。</x:v>
      </x:c>
      <x:c r="G20" t="str">
        <x:v>fresh independent review 关闭该 G2 阻断；永久 adversarial regression 保留。G3 及后续 Gate 仍需各自验收。</x:v>
      </x:c>
      <x:c r="H20" t="str">
        <x:v>中</x:v>
      </x:c>
      <x:c r="I20" t="str">
        <x:v>Persistence reviewer</x:v>
      </x:c>
      <x:c r="J20" t="str">
        <x:v>2026-07-30</x:v>
      </x:c>
      <x:c r="K20" t="str">
        <x:v>V5-P2-T007,V5-P3-T006,V5-P5-T005</x:v>
      </x:c>
      <x:c r="L20" t="str">
        <x:v>MITIGATED</x:v>
      </x:c>
    </x:row>
  </x:sheetData>
  <x:mergeCells>
    <x:mergeCell ref="A1:L1"/>
    <x:mergeCell ref="A2:L2"/>
  </x:mergeCells>
  <x:conditionalFormatting sqref="L5:L18">
    <x:cfRule type="containsText" dxfId="72" priority="2" aboveAverage="0" percent="0" bottom="0" operator="containsText" text="BLOCKED" rank="0" equalAverage="0">
      <x:formula>NOT(ISERROR(SEARCH("BLOCKED",L5)))</x:formula>
    </x:cfRule>
    <x:cfRule type="containsText" dxfId="73" priority="3" aboveAverage="0" percent="0" bottom="0" operator="containsText" text="REVIEW_FAILED" rank="0" equalAverage="0">
      <x:formula>NOT(ISERROR(SEARCH("REVIEW_FAILED",L5)))</x:formula>
    </x:cfRule>
    <x:cfRule type="containsText" dxfId="74" priority="4" aboveAverage="0" percent="0" bottom="0" operator="containsText" text="READY" rank="0" equalAverage="0">
      <x:formula>NOT(ISERROR(SEARCH("READY",L5)))</x:formula>
    </x:cfRule>
    <x:cfRule type="containsText" dxfId="75" priority="5" aboveAverage="0" percent="0" bottom="0" operator="containsText" text="IN_PROGRESS" rank="0" equalAverage="0">
      <x:formula>NOT(ISERROR(SEARCH("IN_PROGRESS",L5)))</x:formula>
    </x:cfRule>
    <x:cfRule type="containsText" dxfId="76" priority="6" aboveAverage="0" percent="0" bottom="0" operator="containsText" text="IMPLEMENTED_PENDING_REVIEW" rank="0" equalAverage="0">
      <x:formula>NOT(ISERROR(SEARCH("IMPLEMENTED_PENDING_REVIEW",L5)))</x:formula>
    </x:cfRule>
    <x:cfRule type="containsText" dxfId="77" priority="7" aboveAverage="0" percent="0" bottom="0" operator="containsText" text="VERIFIED" rank="0" equalAverage="0">
      <x:formula>NOT(ISERROR(SEARCH("VERIFIED",L5)))</x:formula>
    </x:cfRule>
    <x:cfRule type="containsText" dxfId="78" priority="8" aboveAverage="0" percent="0" bottom="0" operator="containsText" text="DEFERRED" rank="0" equalAverage="0">
      <x:formula>NOT(ISERROR(SEARCH("DEFERRED",L5)))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82df2c756543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1.479999542236328" hidden="0" customWidth="1"/>
    <x:col min="2" max="2" width="16.709999084472656" hidden="0" customWidth="1"/>
    <x:col min="3" max="3" width="26.260000228881836" hidden="0" customWidth="1"/>
    <x:col min="4" max="4" width="53.709999084472656" hidden="0" customWidth="1"/>
    <x:col min="5" max="5" width="65.6500015258789" hidden="0" customWidth="1"/>
    <x:col min="6" max="6" width="45.349998474121094" hidden="0" customWidth="1"/>
    <x:col min="7" max="7" width="23.8700008392334" hidden="0" customWidth="1"/>
  </x:cols>
  <x:sheetData>
    <x:row r="1" ht="28" hidden="0" customHeight="1">
      <x:c r="A1" s="17" t="s">
        <x:v>1534</x:v>
      </x:c>
      <x:c r="B1" s="17"/>
      <x:c r="C1" s="17"/>
      <x:c r="D1" s="17"/>
      <x:c r="E1" s="17"/>
      <x:c r="F1" s="17"/>
      <x:c r="G1" s="17"/>
    </x:row>
    <x:row r="2" ht="34" hidden="0" customHeight="1">
      <x:c r="A2" s="18" t="s">
        <x:v>1535</x:v>
      </x:c>
      <x:c r="B2" s="18"/>
      <x:c r="C2" s="18"/>
      <x:c r="D2" s="18"/>
      <x:c r="E2" s="18"/>
      <x:c r="F2" s="18"/>
      <x:c r="G2" s="18"/>
    </x:row>
    <x:row r="4" ht="15" hidden="0">
      <x:c r="A4" s="20" t="s">
        <x:v>1536</x:v>
      </x:c>
      <x:c r="B4" s="14" t="s">
        <x:v>1333</x:v>
      </x:c>
      <x:c r="C4" s="14" t="s">
        <x:v>1537</x:v>
      </x:c>
      <x:c r="D4" s="14" t="s">
        <x:v>1538</x:v>
      </x:c>
      <x:c r="E4" s="14" t="s">
        <x:v>1539</x:v>
      </x:c>
      <x:c r="F4" s="14" t="s">
        <x:v>1540</x:v>
      </x:c>
      <x:c r="G4" s="21" t="s">
        <x:v>1367</x:v>
      </x:c>
    </x:row>
    <x:row r="5" ht="44" hidden="0" customHeight="1">
      <x:c r="A5" s="7" t="s">
        <x:v>1541</x:v>
      </x:c>
      <x:c r="B5" s="24" t="s">
        <x:v>338</x:v>
      </x:c>
      <x:c r="C5" s="7" t="s">
        <x:v>311</x:v>
      </x:c>
      <x:c r="D5" s="8" t="s">
        <x:v>1542</x:v>
      </x:c>
      <x:c r="E5" s="8" t="s">
        <x:v>1543</x:v>
      </x:c>
      <x:c r="F5" s="8" t="s">
        <x:v>1544</x:v>
      </x:c>
      <x:c r="G5" s="7" t="s">
        <x:v>1380</x:v>
      </x:c>
    </x:row>
    <x:row r="6" ht="44" hidden="0" customHeight="1">
      <x:c r="A6" s="9" t="s">
        <x:v>1545</x:v>
      </x:c>
      <x:c r="B6" s="25" t="s">
        <x:v>1546</x:v>
      </x:c>
      <x:c r="C6" s="9" t="s">
        <x:v>311</x:v>
      </x:c>
      <x:c r="D6" s="10" t="s">
        <x:v>1547</x:v>
      </x:c>
      <x:c r="E6" s="9" t="s">
        <x:v>1548</x:v>
      </x:c>
      <x:c r="F6" s="10" t="s">
        <x:v>1549</x:v>
      </x:c>
      <x:c r="G6" s="9" t="s">
        <x:v>1380</x:v>
      </x:c>
    </x:row>
    <x:row r="7" ht="44" hidden="0" customHeight="1">
      <x:c r="A7" s="9" t="s">
        <x:v>1550</x:v>
      </x:c>
      <x:c r="B7" s="25" t="s">
        <x:v>338</x:v>
      </x:c>
      <x:c r="C7" s="9" t="s">
        <x:v>311</x:v>
      </x:c>
      <x:c r="D7" s="9" t="s">
        <x:v>1551</x:v>
      </x:c>
      <x:c r="E7" s="10" t="s">
        <x:v>1552</x:v>
      </x:c>
      <x:c r="F7" s="10" t="s">
        <x:v>1553</x:v>
      </x:c>
      <x:c r="G7" s="9" t="s">
        <x:v>1394</x:v>
      </x:c>
    </x:row>
    <x:row r="8" ht="44" hidden="0" customHeight="1">
      <x:c r="A8" s="9" t="s">
        <x:v>1554</x:v>
      </x:c>
      <x:c r="B8" s="25" t="s">
        <x:v>338</x:v>
      </x:c>
      <x:c r="C8" s="9" t="s">
        <x:v>311</x:v>
      </x:c>
      <x:c r="D8" s="9" t="s">
        <x:v>1555</x:v>
      </x:c>
      <x:c r="E8" s="10" t="s">
        <x:v>1556</x:v>
      </x:c>
      <x:c r="F8" s="10" t="s">
        <x:v>1557</x:v>
      </x:c>
      <x:c r="G8" s="9" t="s">
        <x:v>402</x:v>
      </x:c>
    </x:row>
    <x:row r="9" ht="44" hidden="0" customHeight="1">
      <x:c r="A9" s="9" t="s">
        <x:v>1558</x:v>
      </x:c>
      <x:c r="B9" s="25" t="s">
        <x:v>338</x:v>
      </x:c>
      <x:c r="C9" s="9" t="s">
        <x:v>311</x:v>
      </x:c>
      <x:c r="D9" s="9" t="s">
        <x:v>1559</x:v>
      </x:c>
      <x:c r="E9" s="9" t="s">
        <x:v>1560</x:v>
      </x:c>
      <x:c r="F9" s="10" t="s">
        <x:v>1561</x:v>
      </x:c>
      <x:c r="G9" s="9" t="s">
        <x:v>402</x:v>
      </x:c>
    </x:row>
    <x:row r="10" ht="15" hidden="0">
      <x:c r="A10" s="26" t="str">
        <x:v>0.8.0-v5-g0-review-g1-contracts-001</x:v>
      </x:c>
      <x:c r="B10" s="26" t="str">
        <x:v>2026-07-30</x:v>
      </x:c>
      <x:c r="C10" s="26" t="str">
        <x:v>Independent + Main Codex</x:v>
      </x:c>
      <x:c r="D10" s="27" t="str">
        <x:v>独立接受 bd15fca，并完成六项 V5 G1 架构合同与 S1A.2 只读复用裁决</x:v>
      </x:c>
      <x:c r="E10" s="27" t="str">
        <x:v>V5-G0→VERIFIED；P0/P1→VERIFIED；六项 G1→IMPLEMENTED_PENDING_REVIEW；工作簿/MD/CSV 同步</x:v>
      </x:c>
      <x:c r="F10" t="str">
        <x:v>关闭容量旁路门禁，同时保持 G2 未授权、V4 frozen、S1A.2 八文件 untracked/unstaged</x:v>
      </x:c>
      <x:c r="G10" s="26" t="str">
        <x:v>RVW-V5-P0-P1-002</x:v>
      </x:c>
    </x:row>
    <x:row r="11" ht="15" hidden="0">
      <x:c r="A11" s="26" t="str">
        <x:v>0.9.0-v5-g1-independent-review-001</x:v>
      </x:c>
      <x:c r="B11" s="26" t="str">
        <x:v>2026-07-30</x:v>
      </x:c>
      <x:c r="C11" s="26" t="str">
        <x:v>Independent Codex</x:v>
      </x:c>
      <x:c r="D11" s="27" t="str">
        <x:v>独立接受 V5 G1 六合同并激活条件式 G2 授权</x:v>
      </x:c>
      <x:c r="E11" s="27" t="str">
        <x:v>G1 六任务、V5-G1 Gate、review/execution records、当前基线</x:v>
      </x:c>
      <x:c r="F11" t="str">
        <x:v>b3a7f03 通过 51/51、30/30、完整回归与工作簿复核</x:v>
      </x:c>
      <x:c r="G11" s="26" t="str">
        <x:v>RVW-V5-G1-001</x:v>
      </x:c>
    </x:row>
    <x:row r="12" ht="15" hidden="0">
      <x:c r="A12" s="28" t="s">
        <x:v>1562</x:v>
      </x:c>
      <x:c r="B12" s="28" t="s">
        <x:v>316</x:v>
      </x:c>
      <x:c r="C12" s="28" t="s">
        <x:v>311</x:v>
      </x:c>
      <x:c r="D12" t="s">
        <x:v>1563</x:v>
      </x:c>
      <x:c r="E12" s="28" t="s">
        <x:v>1564</x:v>
      </x:c>
      <x:c r="F12" t="s">
        <x:v>1565</x:v>
      </x:c>
      <x:c r="G12" s="28" t="s">
        <x:v>1566</x:v>
      </x:c>
    </x:row>
    <x:row r="13">
      <x:c r="A13" t="str">
        <x:v>1.0.0-v5-g2-runtime-candidate-001</x:v>
      </x:c>
      <x:c r="B13" t="str">
        <x:v>2026-07-30</x:v>
      </x:c>
      <x:c r="C13" t="str">
        <x:v>Main Codex</x:v>
      </x:c>
      <x:c r="D13" t="str">
        <x:v>完成 V5 G2 P2/P3/P4/P5 runtime、冷进程存档与 automated vertical loop candidate</x:v>
      </x:c>
      <x:c r="E13" t="str">
        <x:v>16 个 G2 tasks→IMPLEMENTED_PENDING_REVIEW；测试/验收/Gate/执行/所有权/保护记录同步</x:v>
      </x:c>
      <x:c r="F13" t="str">
        <x:v>形成独立可复审候选，同时保持 G3/G4/V6 未启动、S1A.2 八文件隔离</x:v>
      </x:c>
      <x:c r="G13"/>
    </x:row>
    <x:row r="14">
      <x:c r="A14" t="str">
        <x:v>1.0.1-v5-g2-repair-001</x:v>
      </x:c>
      <x:c r="B14" t="str">
        <x:v>2026-07-30</x:v>
      </x:c>
      <x:c r="C14" t="str">
        <x:v>Independent repair reviewer</x:v>
      </x:c>
      <x:c r="D14" t="str">
        <x:v>V5 G2 独立复审发现 stable-ID sequence 冷恢复缺陷并完成最小修复</x:v>
      </x:c>
      <x:c r="E14" t="str">
        <x:v>TrainingQueue/ArmyRegistry validation、P5 adversarial tests、review/run/risk/baseline records；16 runtime tasks 保持 pending</x:v>
      </x:c>
      <x:c r="F14" t="str">
        <x:v>修复 reviewer 不得自审接受；下一 Gate 仍是全新独立复审，不进入 G3/G4/V6</x:v>
      </x:c>
      <x:c r="G14" t="str">
        <x:v>RVW-V5-G2-001</x:v>
      </x:c>
    </x:row>
    <x:row r="15">
      <x:c r="A15" t="str">
        <x:v>1.0.2-v5-g2-fresh-review-accepted-003</x:v>
      </x:c>
      <x:c r="B15" t="str">
        <x:v>2026-07-31</x:v>
      </x:c>
      <x:c r="C15" t="str">
        <x:v>Independent + Main Codex</x:v>
      </x:c>
      <x:c r="D15" t="str">
        <x:v>fresh independent review 接受 V5-G2 stable-ID boundary repair</x:v>
      </x:c>
      <x:c r="E15" t="str">
        <x:v>精确16项 runtime tasks→VERIFIED；V5-G2→VERIFIED；Review/Run/Risk/Baseline/主控镜像同步</x:v>
      </x:c>
      <x:c r="F15" t="str">
        <x:v>完整提交链、四文件 diff、29/29 边界探针、51/51 P5、三组全量回归与 S1A.2 哈希均独立成立；停止在 G2</x:v>
      </x:c>
      <x:c r="G15" t="str">
        <x:v>RVW-V5-G2-003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9720aecd904f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23.8700008392334" hidden="0" customWidth="1"/>
    <x:col min="2" max="2" width="65.6500015258789" hidden="0" customWidth="1"/>
    <x:col min="3" max="3" width="50.130001068115234" hidden="0" customWidth="1"/>
    <x:col min="4" max="4" width="45.349998474121094" hidden="0" customWidth="1"/>
    <x:col min="5" max="5" width="33.41999816894531" hidden="0" customWidth="1"/>
  </x:cols>
  <x:sheetData>
    <x:row r="1" ht="28" hidden="0" customHeight="1">
      <x:c r="A1" s="17" t="s">
        <x:v>1567</x:v>
      </x:c>
      <x:c r="B1" s="17"/>
      <x:c r="C1" s="17"/>
      <x:c r="D1" s="17"/>
      <x:c r="E1" s="17"/>
    </x:row>
    <x:row r="2" ht="34" hidden="0" customHeight="1">
      <x:c r="A2" s="18" t="s">
        <x:v>1568</x:v>
      </x:c>
      <x:c r="B2" s="18"/>
      <x:c r="C2" s="18"/>
      <x:c r="D2" s="18"/>
      <x:c r="E2" s="18"/>
    </x:row>
    <x:row r="4" ht="15" hidden="0">
      <x:c r="A4" s="20" t="s">
        <x:v>1569</x:v>
      </x:c>
      <x:c r="B4" s="14" t="s">
        <x:v>1570</x:v>
      </x:c>
      <x:c r="C4" s="14" t="s">
        <x:v>1540</x:v>
      </x:c>
      <x:c r="D4" s="14" t="s">
        <x:v>1571</x:v>
      </x:c>
      <x:c r="E4" s="21" t="s">
        <x:v>1572</x:v>
      </x:c>
    </x:row>
    <x:row r="5" ht="44" hidden="0" customHeight="1">
      <x:c r="A5" s="8" t="s">
        <x:v>12</x:v>
      </x:c>
      <x:c r="B5" s="29" t="str">
        <x:v>V5-G2 已 fresh independently accepted；仍禁止 G3/G4/G5/G6/P6/V6/第二兵种/多 active/敌方 AI/围城/新战斗</x:v>
      </x:c>
      <x:c r="C5" s="7" t="str">
        <x:v>stable-ID boundary repair 已由不同 reviewer 绑定完整提交链并独立通过；本轮只形成 acceptance checkpoint</x:v>
      </x:c>
      <x:c r="D5" s="29" t="str">
        <x:v>V5-G0/G1/G2 VERIFIED；精确 16 项 runtime tasks VERIFIED；后续门保持 NOT_STARTED</x:v>
      </x:c>
      <x:c r="E5" s="8" t="s">
        <x:v>1573</x:v>
      </x:c>
    </x:row>
    <x:row r="6" ht="44" hidden="0" customHeight="1">
      <x:c r="A6" s="9" t="s">
        <x:v>1574</x:v>
      </x:c>
      <x:c r="B6" s="10" t="s">
        <x:v>1575</x:v>
      </x:c>
      <x:c r="C6" s="10" t="str">
        <x:v>受保护现场；只读裁决为 conditional reuse，不等于提交或实现</x:v>
      </x:c>
      <x:c r="D6" s="10" t="str">
        <x:v>前后 shasum + untracked/unstaged + staged exclusion</x:v>
      </x:c>
      <x:c r="E6" s="10" t="s">
        <x:v>1518</x:v>
      </x:c>
    </x:row>
    <x:row r="7" ht="44" hidden="0" customHeight="1">
      <x:c r="A7" s="9" t="s">
        <x:v>47</x:v>
      </x:c>
      <x:c r="B7" s="9" t="s">
        <x:v>1576</x:v>
      </x:c>
      <x:c r="C7" s="10" t="s">
        <x:v>1577</x:v>
      </x:c>
      <x:c r="D7" s="9" t="s">
        <x:v>1578</x:v>
      </x:c>
      <x:c r="E7" s="9" t="s">
        <x:v>1579</x:v>
      </x:c>
    </x:row>
    <x:row r="8" ht="44" hidden="0" customHeight="1">
      <x:c r="A8" s="9" t="s">
        <x:v>1580</x:v>
      </x:c>
      <x:c r="B8" s="10" t="str">
        <x:v>不 push／发布／部署；不提交 S1A.2；不做破坏性历史改写</x:v>
      </x:c>
      <x:c r="C8" s="10" t="str">
        <x:v>只形成 P2/P3/P4/P5 checkpoints 与一个本地 G2 candidate commit</x:v>
      </x:c>
      <x:c r="D8" s="9" t="s">
        <x:v>1581</x:v>
      </x:c>
      <x:c r="E8" s="9" t="s">
        <x:v>1582</x:v>
      </x:c>
    </x:row>
    <x:row r="9" ht="44" hidden="0" customHeight="1">
      <x:c r="A9" s="10" t="s">
        <x:v>1583</x:v>
      </x:c>
      <x:c r="B9" s="10" t="s">
        <x:v>1584</x:v>
      </x:c>
      <x:c r="C9" s="10" t="s">
        <x:v>1585</x:v>
      </x:c>
      <x:c r="D9" s="10" t="s">
        <x:v>1586</x:v>
      </x:c>
      <x:c r="E9" s="10" t="s">
        <x:v>1518</x:v>
      </x:c>
    </x:row>
    <x:row r="10" ht="44" hidden="0" customHeight="1">
      <x:c r="A10" s="10" t="s">
        <x:v>1587</x:v>
      </x:c>
      <x:c r="B10" s="10" t="s">
        <x:v>1588</x:v>
      </x:c>
      <x:c r="C10" s="10" t="s">
        <x:v>1589</x:v>
      </x:c>
      <x:c r="D10" s="9" t="s">
        <x:v>1590</x:v>
      </x:c>
      <x:c r="E10" s="10" t="s">
        <x:v>1518</x:v>
      </x:c>
    </x:row>
    <x:row r="11" ht="44" hidden="0" customHeight="1">
      <x:c r="A11" s="10" t="s">
        <x:v>1591</x:v>
      </x:c>
      <x:c r="B11" s="9" t="s">
        <x:v>1592</x:v>
      </x:c>
      <x:c r="C11" s="10" t="s">
        <x:v>1593</x:v>
      </x:c>
      <x:c r="D11" s="10" t="s">
        <x:v>1594</x:v>
      </x:c>
      <x:c r="E11" s="10" t="s">
        <x:v>1518</x:v>
      </x:c>
    </x:row>
    <x:row r="12" ht="44" hidden="0" customHeight="1">
      <x:c r="A12" s="10" t="s">
        <x:v>1595</x:v>
      </x:c>
      <x:c r="B12" s="9" t="s">
        <x:v>1596</x:v>
      </x:c>
      <x:c r="C12" s="10" t="s">
        <x:v>1597</x:v>
      </x:c>
      <x:c r="D12" s="10" t="s">
        <x:v>1598</x:v>
      </x:c>
      <x:c r="E12" s="9" t="s">
        <x:v>1599</x:v>
      </x:c>
    </x:row>
    <x:row r="13" ht="44" hidden="0" customHeight="1">
      <x:c r="A13" s="10" t="s">
        <x:v>1600</x:v>
      </x:c>
      <x:c r="B13" s="10" t="s">
        <x:v>1601</x:v>
      </x:c>
      <x:c r="C13" s="9" t="s">
        <x:v>1602</x:v>
      </x:c>
      <x:c r="D13" s="9" t="s">
        <x:v>1603</x:v>
      </x:c>
      <x:c r="E13" s="10" t="s">
        <x:v>1604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9cbd73025854e6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35.810001373291016" hidden="0" customWidth="1"/>
    <x:col min="2" max="2" width="53.709999084472656" hidden="0" customWidth="1"/>
    <x:col min="3" max="3" width="35.810001373291016" hidden="0" customWidth="1"/>
    <x:col min="4" max="4" width="33.41999816894531" hidden="0" customWidth="1"/>
    <x:col min="5" max="5" width="31.030000686645508" hidden="0" customWidth="1"/>
    <x:col min="6" max="6" width="57.290000915527344" hidden="0" customWidth="1"/>
    <x:col min="7" max="8" width="45.349998474121094" hidden="0" customWidth="1"/>
    <x:col min="9" max="9" width="40.58000183105469" hidden="0" customWidth="1"/>
    <x:col min="10" max="10" width="50.130001068115234" hidden="0" customWidth="1"/>
    <x:col min="11" max="12" width="21.479999542236328" hidden="0" customWidth="1"/>
  </x:cols>
  <x:sheetData>
    <x:row r="1" ht="28" hidden="0" customHeight="1">
      <x:c r="A1" s="17" t="s">
        <x:v>1605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4" hidden="0" customHeight="1">
      <x:c r="A2" s="18" t="s">
        <x:v>1606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15" hidden="0">
      <x:c r="A4" s="11" t="s">
        <x:v>1607</x:v>
      </x:c>
      <x:c r="B4" s="13" t="s">
        <x:v>1608</x:v>
      </x:c>
      <x:c r="C4" s="13" t="s">
        <x:v>1609</x:v>
      </x:c>
      <x:c r="D4" s="13" t="s">
        <x:v>1610</x:v>
      </x:c>
      <x:c r="E4" s="13" t="s">
        <x:v>1611</x:v>
      </x:c>
      <x:c r="F4" s="13" t="s">
        <x:v>1612</x:v>
      </x:c>
      <x:c r="G4" s="13" t="s">
        <x:v>1613</x:v>
      </x:c>
      <x:c r="H4" s="13" t="s">
        <x:v>1614</x:v>
      </x:c>
      <x:c r="I4" s="13" t="s">
        <x:v>1615</x:v>
      </x:c>
      <x:c r="J4" s="13" t="s">
        <x:v>1616</x:v>
      </x:c>
      <x:c r="K4" s="13" t="s">
        <x:v>63</x:v>
      </x:c>
      <x:c r="L4" s="12" t="s">
        <x:v>1617</x:v>
      </x:c>
    </x:row>
    <x:row r="5" ht="44" hidden="0" customHeight="1">
      <x:c r="A5" s="7" t="s">
        <x:v>1618</x:v>
      </x:c>
      <x:c r="B5" s="7" t="s">
        <x:v>1619</x:v>
      </x:c>
      <x:c r="C5" s="8" t="s">
        <x:v>1620</x:v>
      </x:c>
      <x:c r="D5" s="8" t="s">
        <x:v>1621</x:v>
      </x:c>
      <x:c r="E5" s="8" t="s">
        <x:v>1622</x:v>
      </x:c>
      <x:c r="F5" s="8" t="s">
        <x:v>1623</x:v>
      </x:c>
      <x:c r="G5" s="8" t="s">
        <x:v>1624</x:v>
      </x:c>
      <x:c r="H5" s="7" t="s">
        <x:v>1625</x:v>
      </x:c>
      <x:c r="I5" s="8" t="s">
        <x:v>1626</x:v>
      </x:c>
      <x:c r="J5" s="8" t="s">
        <x:v>1627</x:v>
      </x:c>
      <x:c r="K5" s="7" t="s">
        <x:v>67</x:v>
      </x:c>
      <x:c r="L5" s="8" t="s">
        <x:v>1628</x:v>
      </x:c>
    </x:row>
    <x:row r="6" ht="44" hidden="0" customHeight="1">
      <x:c r="A6" s="9" t="s">
        <x:v>1629</x:v>
      </x:c>
      <x:c r="B6" s="9" t="s">
        <x:v>1630</x:v>
      </x:c>
      <x:c r="C6" s="10" t="s">
        <x:v>1631</x:v>
      </x:c>
      <x:c r="D6" s="10" t="s">
        <x:v>1632</x:v>
      </x:c>
      <x:c r="E6" s="9" t="s">
        <x:v>1633</x:v>
      </x:c>
      <x:c r="F6" s="9" t="s">
        <x:v>1634</x:v>
      </x:c>
      <x:c r="G6" s="10" t="s">
        <x:v>1635</x:v>
      </x:c>
      <x:c r="H6" s="9" t="s">
        <x:v>1636</x:v>
      </x:c>
      <x:c r="I6" s="10" t="s">
        <x:v>1637</x:v>
      </x:c>
      <x:c r="J6" s="10" t="s">
        <x:v>1638</x:v>
      </x:c>
      <x:c r="K6" s="9" t="s">
        <x:v>67</x:v>
      </x:c>
      <x:c r="L6" s="10" t="s">
        <x:v>1639</x:v>
      </x:c>
    </x:row>
    <x:row r="7" ht="44" hidden="0" customHeight="1">
      <x:c r="A7" s="9" t="s">
        <x:v>1640</x:v>
      </x:c>
      <x:c r="B7" s="9" t="str">
        <x:v>8 protected untracked files</x:v>
      </x:c>
      <x:c r="C7" s="10" t="str">
        <x:v>legacy V1 codec/store candidate; no V5 write authority</x:v>
      </x:c>
      <x:c r="D7" s="10" t="str">
        <x:v>immutable legacy compatibility input</x:v>
      </x:c>
      <x:c r="E7" s="10" t="str">
        <x:v>V1 disk candidate; conditional reuse only</x:v>
      </x:c>
      <x:c r="F7" s="10" t="str">
        <x:v>复用 generation/checksum/lock/recovery 机制和只读 V1 import；不得直接作为 V5 writer</x:v>
      </x:c>
      <x:c r="G7" s="10" t="str">
        <x:v>V1 bytes and validator only</x:v>
      </x:c>
      <x:c r="H7" s="10" t="str">
        <x:v>read-only migration adapter</x:v>
      </x:c>
      <x:c r="I7" s="10" t="str">
        <x:v>G2 提取/适配 mechanics；不修改原八文件</x:v>
      </x:c>
      <x:c r="J7" s="10" t="str">
        <x:v>无；V5 已另建 V2 writer，八文件继续只读保护</x:v>
      </x:c>
      <x:c r="K7" s="9" t="str">
        <x:v>CONFIRMED</x:v>
      </x:c>
      <x:c r="L7" s="10" t="str">
        <x:v>条件复用裁决已落实；保护文件未修改</x:v>
      </x:c>
    </x:row>
    <x:row r="8" ht="44" hidden="0" customHeight="1">
      <x:c r="A8" s="9" t="s">
        <x:v>1641</x:v>
      </x:c>
      <x:c r="B8" s="9" t="s">
        <x:v>1642</x:v>
      </x:c>
      <x:c r="C8" s="10" t="s">
        <x:v>1643</x:v>
      </x:c>
      <x:c r="D8" s="9" t="s">
        <x:v>1644</x:v>
      </x:c>
      <x:c r="E8" s="10" t="s">
        <x:v>1645</x:v>
      </x:c>
      <x:c r="F8" s="9" t="s">
        <x:v>1646</x:v>
      </x:c>
      <x:c r="G8" s="10" t="s">
        <x:v>1647</x:v>
      </x:c>
      <x:c r="H8" s="9" t="s">
        <x:v>1648</x:v>
      </x:c>
      <x:c r="I8" s="10" t="s">
        <x:v>1649</x:v>
      </x:c>
      <x:c r="J8" s="10" t="s">
        <x:v>1650</x:v>
      </x:c>
      <x:c r="K8" s="9" t="s">
        <x:v>67</x:v>
      </x:c>
      <x:c r="L8" s="10" t="s">
        <x:v>1628</x:v>
      </x:c>
    </x:row>
    <x:row r="9" ht="44" hidden="0" customHeight="1">
      <x:c r="A9" s="9" t="s">
        <x:v>1651</x:v>
      </x:c>
      <x:c r="B9" s="10" t="s">
        <x:v>1652</x:v>
      </x:c>
      <x:c r="C9" s="10" t="s">
        <x:v>1652</x:v>
      </x:c>
      <x:c r="D9" s="10" t="s">
        <x:v>1653</x:v>
      </x:c>
      <x:c r="E9" s="10" t="s">
        <x:v>1652</x:v>
      </x:c>
      <x:c r="F9" s="9" t="s">
        <x:v>1654</x:v>
      </x:c>
      <x:c r="G9" s="10" t="s">
        <x:v>1655</x:v>
      </x:c>
      <x:c r="H9" s="10" t="s">
        <x:v>1656</x:v>
      </x:c>
      <x:c r="I9" s="10" t="s">
        <x:v>1657</x:v>
      </x:c>
      <x:c r="J9" s="10" t="s">
        <x:v>1658</x:v>
      </x:c>
      <x:c r="K9" s="9" t="s">
        <x:v>67</x:v>
      </x:c>
      <x:c r="L9" s="10" t="s">
        <x:v>1659</x:v>
      </x:c>
    </x:row>
    <x:row r="10" ht="44" hidden="0" customHeight="1">
      <x:c r="A10" s="9" t="s">
        <x:v>1660</x:v>
      </x:c>
      <x:c r="B10" s="9" t="s">
        <x:v>1661</x:v>
      </x:c>
      <x:c r="C10" s="9" t="s">
        <x:v>1662</x:v>
      </x:c>
      <x:c r="D10" s="10" t="s">
        <x:v>1663</x:v>
      </x:c>
      <x:c r="E10" s="10" t="s">
        <x:v>1652</x:v>
      </x:c>
      <x:c r="F10" s="9" t="s">
        <x:v>1664</x:v>
      </x:c>
      <x:c r="G10" s="10" t="s">
        <x:v>1665</x:v>
      </x:c>
      <x:c r="H10" s="9" t="s">
        <x:v>1666</x:v>
      </x:c>
      <x:c r="I10" s="10" t="s">
        <x:v>1667</x:v>
      </x:c>
      <x:c r="J10" s="10" t="s">
        <x:v>1668</x:v>
      </x:c>
      <x:c r="K10" s="9" t="s">
        <x:v>67</x:v>
      </x:c>
      <x:c r="L10" s="10" t="s">
        <x:v>1669</x:v>
      </x:c>
    </x:row>
    <x:row r="11" ht="44" hidden="0" customHeight="1">
      <x:c r="A11" s="9" t="str">
        <x:v>GarrisonState</x:v>
      </x:c>
      <x:c r="B11" s="10" t="str">
        <x:v>scripts/army/garrison_state.gd</x:v>
      </x:c>
      <x:c r="C11" s="10" t="str">
        <x:v>ConstructionController private source</x:v>
      </x:c>
      <x:c r="D11" s="10" t="str">
        <x:v>城市运行期 RefCounted</x:v>
      </x:c>
      <x:c r="E11" s="10" t="str">
        <x:v>not yet in accepted disk schema</x:v>
      </x:c>
      <x:c r="F11" s="9" t="str">
        <x:v>V5 本城兵种数量唯一源；未来扩定义集合</x:v>
      </x:c>
      <x:c r="G11" s="10" t="str">
        <x:v>unit_counts dictionary</x:v>
      </x:c>
      <x:c r="H11" s="10" t="str">
        <x:v>city authority commands; UI/read model read-only</x:v>
      </x:c>
      <x:c r="I11" s="9" t="str">
        <x:v>V2 save schema</x:v>
      </x:c>
      <x:c r="J11" s="10" t="str">
        <x:v>infantry_count 仅兼容属性</x:v>
      </x:c>
      <x:c r="K11" s="9" t="str">
        <x:v>CONFIRMED</x:v>
      </x:c>
      <x:c r="L11" s="10" t="str">
        <x:v>已实现/独立接受</x:v>
      </x:c>
    </x:row>
    <x:row r="12" ht="44" hidden="0" customHeight="1">
      <x:c r="A12" s="9" t="s">
        <x:v>1670</x:v>
      </x:c>
      <x:c r="B12" s="9" t="s">
        <x:v>1671</x:v>
      </x:c>
      <x:c r="C12" s="9" t="s">
        <x:v>1672</x:v>
      </x:c>
      <x:c r="D12" s="10" t="s">
        <x:v>1663</x:v>
      </x:c>
      <x:c r="E12" s="10" t="s">
        <x:v>1652</x:v>
      </x:c>
      <x:c r="F12" s="9" t="s">
        <x:v>1673</x:v>
      </x:c>
      <x:c r="G12" s="10" t="s">
        <x:v>1674</x:v>
      </x:c>
      <x:c r="H12" s="9" t="s">
        <x:v>1675</x:v>
      </x:c>
      <x:c r="I12" s="9" t="s">
        <x:v>1676</x:v>
      </x:c>
      <x:c r="J12" s="10" t="s">
        <x:v>1677</x:v>
      </x:c>
      <x:c r="K12" s="9" t="s">
        <x:v>67</x:v>
      </x:c>
      <x:c r="L12" s="10" t="s">
        <x:v>1669</x:v>
      </x:c>
    </x:row>
    <x:row r="13" ht="44" hidden="0" customHeight="1">
      <x:c r="A13" s="9" t="s">
        <x:v>1678</x:v>
      </x:c>
      <x:c r="B13" s="10" t="str">
        <x:v>scripts/army/army_registry.gd</x:v>
      </x:c>
      <x:c r="C13" s="10" t="str">
        <x:v>ConstructionController-owned ArmyRegistry</x:v>
      </x:c>
      <x:c r="D13" s="10" t="str">
        <x:v>persistent collection；V5 policy 最多一支 active</x:v>
      </x:c>
      <x:c r="E13" s="10" t="str">
        <x:v>CampaignSnapshotV2 army_registry</x:v>
      </x:c>
      <x:c r="F13" s="9" t="str">
        <x:v>V5 collection + at-most-one-active validator；V6 可放宽 validator</x:v>
      </x:c>
      <x:c r="G13" s="9" t="s">
        <x:v>1679</x:v>
      </x:c>
      <x:c r="H13" s="10" t="s">
        <x:v>1680</x:v>
      </x:c>
      <x:c r="I13" s="9" t="str">
        <x:v>V6 只放宽 active policy，不更换集合容器</x:v>
      </x:c>
      <x:c r="J13" s="10" t="str">
        <x:v>stable-ID sequence type/range/successor/exhaustion 与 pre-reservation failure 已由 fresh reviewer 独立接受</x:v>
      </x:c>
      <x:c r="K13" s="9" t="str">
        <x:v>CONFIRMED</x:v>
      </x:c>
      <x:c r="L13" s="10" t="str">
        <x:v>runtime implemented / V5-G2 independently accepted</x:v>
      </x:c>
    </x:row>
    <x:row r="14" ht="44" hidden="0" customHeight="1">
      <x:c r="A14" s="9" t="str">
        <x:v>TrainingQueue（合同）</x:v>
      </x:c>
      <x:c r="B14" s="9" t="str">
        <x:v>scripts/army/training_queue.gd</x:v>
      </x:c>
      <x:c r="C14" s="9" t="str">
        <x:v>ConstructionController-owned TrainingQueue</x:v>
      </x:c>
      <x:c r="D14" s="10" t="str">
        <x:v>persistent order collection</x:v>
      </x:c>
      <x:c r="E14" s="9" t="str">
        <x:v>CampaignSnapshotV2 training_queue</x:v>
      </x:c>
      <x:c r="F14" s="9" t="str">
        <x:v>稳定 order ID；QUEUED→COMPLETED；只由城市战略日边界推进</x:v>
      </x:c>
      <x:c r="G14" s="9" t="str">
        <x:v>orders_by_id + persisted sequence</x:v>
      </x:c>
      <x:c r="H14" s="10" t="str">
        <x:v>city command/day boundary; UI read-only</x:v>
      </x:c>
      <x:c r="I14" s="9" t="str">
        <x:v>V1 三兼容字段只读迁入唯一 TrainingQueue</x:v>
      </x:c>
      <x:c r="J14" s="10" t="str">
        <x:v>stable-ID sequence type/range/successor/exhaustion 与合法 V1 空队列历史迁移已由 fresh reviewer 独立接受</x:v>
      </x:c>
      <x:c r="K14" s="9" t="str">
        <x:v>CONFIRMED</x:v>
      </x:c>
      <x:c r="L14" s="10" t="str">
        <x:v>runtime implemented / V5-G2 independently accepted</x:v>
      </x:c>
    </x:row>
    <x:row r="15" ht="44" hidden="0" customHeight="1">
      <x:c r="A15" s="9" t="s">
        <x:v>108</x:v>
      </x:c>
      <x:c r="B15" s="9" t="s">
        <x:v>109</x:v>
      </x:c>
      <x:c r="C15" s="10" t="s">
        <x:v>107</x:v>
      </x:c>
      <x:c r="D15" s="9" t="s">
        <x:v>1681</x:v>
      </x:c>
      <x:c r="E15" s="10" t="s">
        <x:v>1682</x:v>
      </x:c>
      <x:c r="F15" s="9" t="s">
        <x:v>1683</x:v>
      </x:c>
      <x:c r="G15" s="9" t="s">
        <x:v>1684</x:v>
      </x:c>
      <x:c r="H15" s="9" t="s">
        <x:v>1685</x:v>
      </x:c>
      <x:c r="I15" s="10" t="s">
        <x:v>1686</x:v>
      </x:c>
      <x:c r="J15" s="10" t="s">
        <x:v>1687</x:v>
      </x:c>
      <x:c r="K15" s="9" t="s">
        <x:v>67</x:v>
      </x:c>
      <x:c r="L15" s="10" t="s">
        <x:v>1628</x:v>
      </x:c>
    </x:row>
    <x:row r="16" ht="44" hidden="0" customHeight="1">
      <x:c r="A16" s="9" t="s">
        <x:v>1688</x:v>
      </x:c>
      <x:c r="B16" s="10" t="s">
        <x:v>1652</x:v>
      </x:c>
      <x:c r="C16" s="10" t="s">
        <x:v>1652</x:v>
      </x:c>
      <x:c r="D16" s="10" t="s">
        <x:v>1653</x:v>
      </x:c>
      <x:c r="E16" s="10" t="s">
        <x:v>1652</x:v>
      </x:c>
      <x:c r="F16" s="9" t="s">
        <x:v>1689</x:v>
      </x:c>
      <x:c r="G16" s="10" t="s">
        <x:v>1690</x:v>
      </x:c>
      <x:c r="H16" s="10" t="s">
        <x:v>1691</x:v>
      </x:c>
      <x:c r="I16" s="9" t="s">
        <x:v>1692</x:v>
      </x:c>
      <x:c r="J16" s="10" t="s">
        <x:v>1693</x:v>
      </x:c>
      <x:c r="K16" s="9" t="s">
        <x:v>67</x:v>
      </x:c>
      <x:c r="L16" s="10" t="s">
        <x:v>1659</x:v>
      </x:c>
    </x:row>
    <x:row r="17" ht="44" hidden="0" customHeight="1">
      <x:c r="A17" s="9" t="s">
        <x:v>1694</x:v>
      </x:c>
      <x:c r="B17" s="9" t="s">
        <x:v>1695</x:v>
      </x:c>
      <x:c r="C17" s="10" t="s">
        <x:v>1696</x:v>
      </x:c>
      <x:c r="D17" s="10" t="s">
        <x:v>1697</x:v>
      </x:c>
      <x:c r="E17" s="10" t="s">
        <x:v>1652</x:v>
      </x:c>
      <x:c r="F17" s="9" t="s">
        <x:v>1698</x:v>
      </x:c>
      <x:c r="G17" s="10" t="s">
        <x:v>1699</x:v>
      </x:c>
      <x:c r="H17" s="9" t="s">
        <x:v>1700</x:v>
      </x:c>
      <x:c r="I17" s="10" t="s">
        <x:v>1701</x:v>
      </x:c>
      <x:c r="J17" s="10" t="s">
        <x:v>1702</x:v>
      </x:c>
      <x:c r="K17" s="9" t="s">
        <x:v>67</x:v>
      </x:c>
      <x:c r="L17" s="10" t="s">
        <x:v>1703</x:v>
      </x:c>
    </x:row>
    <x:row r="18" ht="44" hidden="0" customHeight="1">
      <x:c r="A18" s="9" t="s">
        <x:v>1704</x:v>
      </x:c>
      <x:c r="B18" s="10" t="s">
        <x:v>1705</x:v>
      </x:c>
      <x:c r="C18" s="10" t="s">
        <x:v>1652</x:v>
      </x:c>
      <x:c r="D18" s="10" t="s">
        <x:v>1653</x:v>
      </x:c>
      <x:c r="E18" s="10" t="s">
        <x:v>1652</x:v>
      </x:c>
      <x:c r="F18" s="9" t="s">
        <x:v>1706</x:v>
      </x:c>
      <x:c r="G18" s="10" t="s">
        <x:v>1707</x:v>
      </x:c>
      <x:c r="H18" s="10" t="s">
        <x:v>1708</x:v>
      </x:c>
      <x:c r="I18" s="9" t="s">
        <x:v>1709</x:v>
      </x:c>
      <x:c r="J18" s="10" t="s">
        <x:v>1710</x:v>
      </x:c>
      <x:c r="K18" s="9" t="s">
        <x:v>67</x:v>
      </x:c>
      <x:c r="L18" s="10" t="s">
        <x:v>1659</x:v>
      </x:c>
    </x:row>
    <x:row r="19" ht="44" hidden="0" customHeight="1">
      <x:c r="A19" s="9" t="s">
        <x:v>1711</x:v>
      </x:c>
      <x:c r="B19" s="10" t="s">
        <x:v>1712</x:v>
      </x:c>
      <x:c r="C19" s="9" t="s">
        <x:v>1713</x:v>
      </x:c>
      <x:c r="D19" s="10" t="s">
        <x:v>1714</x:v>
      </x:c>
      <x:c r="E19" s="9" t="s">
        <x:v>1715</x:v>
      </x:c>
      <x:c r="F19" s="10" t="s">
        <x:v>1716</x:v>
      </x:c>
      <x:c r="G19" s="10" t="s">
        <x:v>1717</x:v>
      </x:c>
      <x:c r="H19" s="10" t="s">
        <x:v>1718</x:v>
      </x:c>
      <x:c r="I19" s="9" t="s">
        <x:v>1719</x:v>
      </x:c>
      <x:c r="J19" s="10" t="s">
        <x:v>1720</x:v>
      </x:c>
      <x:c r="K19" s="9" t="s">
        <x:v>67</x:v>
      </x:c>
      <x:c r="L19" s="10" t="s">
        <x:v>1721</x:v>
      </x:c>
    </x:row>
    <x:row r="20" ht="44" hidden="0" customHeight="1">
      <x:c r="A20" s="9" t="s">
        <x:v>1722</x:v>
      </x:c>
      <x:c r="B20" s="9" t="s">
        <x:v>1723</x:v>
      </x:c>
      <x:c r="C20" s="10" t="s">
        <x:v>1724</x:v>
      </x:c>
      <x:c r="D20" s="10" t="s">
        <x:v>1725</x:v>
      </x:c>
      <x:c r="E20" s="10" t="s">
        <x:v>1682</x:v>
      </x:c>
      <x:c r="F20" s="10" t="s">
        <x:v>1726</x:v>
      </x:c>
      <x:c r="G20" s="10" t="s">
        <x:v>1727</x:v>
      </x:c>
      <x:c r="H20" s="9" t="s">
        <x:v>1728</x:v>
      </x:c>
      <x:c r="I20" s="10" t="s">
        <x:v>1729</x:v>
      </x:c>
      <x:c r="J20" s="10" t="s">
        <x:v>1730</x:v>
      </x:c>
      <x:c r="K20" s="9" t="s">
        <x:v>67</x:v>
      </x:c>
      <x:c r="L20" s="10" t="s">
        <x:v>1731</x:v>
      </x:c>
    </x:row>
    <x:row r="21" ht="44" hidden="0" customHeight="1">
      <x:c r="A21" s="9" t="s">
        <x:v>1732</x:v>
      </x:c>
      <x:c r="B21" s="9" t="s">
        <x:v>1733</x:v>
      </x:c>
      <x:c r="C21" s="9" t="s">
        <x:v>1672</x:v>
      </x:c>
      <x:c r="D21" s="10" t="s">
        <x:v>1734</x:v>
      </x:c>
      <x:c r="E21" s="10" t="s">
        <x:v>1682</x:v>
      </x:c>
      <x:c r="F21" s="9" t="s">
        <x:v>1735</x:v>
      </x:c>
      <x:c r="G21" s="9" t="s">
        <x:v>1736</x:v>
      </x:c>
      <x:c r="H21" s="9" t="s">
        <x:v>1737</x:v>
      </x:c>
      <x:c r="I21" s="10" t="s">
        <x:v>1738</x:v>
      </x:c>
      <x:c r="J21" s="10" t="s">
        <x:v>1739</x:v>
      </x:c>
      <x:c r="K21" s="9" t="s">
        <x:v>67</x:v>
      </x:c>
      <x:c r="L21" s="10" t="s">
        <x:v>1669</x:v>
      </x:c>
    </x:row>
    <x:row r="22" ht="44" hidden="0" customHeight="1">
      <x:c r="A22" s="9" t="s">
        <x:v>1740</x:v>
      </x:c>
      <x:c r="B22" s="9" t="str">
        <x:v>scripts/state/v5_campaign_snapshot.gd + v5_campaign_save_codec.gd + v5_campaign_save_store.gd</x:v>
      </x:c>
      <x:c r="C22" s="9" t="str">
        <x:v>versioned codec/store/controller adapters</x:v>
      </x:c>
      <x:c r="D22" s="10" t="str">
        <x:v>SaveEnvelopeV1 + CampaignSnapshotV2</x:v>
      </x:c>
      <x:c r="E22" s="10" t="str">
        <x:v>immutable generation files + SHA-256</x:v>
      </x:c>
      <x:c r="F22" s="9" t="str">
        <x:v>separate storage_version 1 and CampaignSnapshot schema_version 2</x:v>
      </x:c>
      <x:c r="G22" s="10" t="str">
        <x:v>version/kind/migration/rollback contract</x:v>
      </x:c>
      <x:c r="H22" s="9" t="str">
        <x:v>codec/store/controller authoritative adapters</x:v>
      </x:c>
      <x:c r="I22" s="9" t="str">
        <x:v>V1 read-only migration implemented；future versions reject</x:v>
      </x:c>
      <x:c r="J22" s="10" t="str">
        <x:v>V1→V2、codec/store/generation/fallback/cold restore 与 zero-partial-write 已由 fresh reviewer 独立接受</x:v>
      </x:c>
      <x:c r="K22" s="9" t="str">
        <x:v>CONFIRMED</x:v>
      </x:c>
      <x:c r="L22" s="10" t="str">
        <x:v>runtime implemented / V5-G2 independently accepted</x:v>
      </x:c>
    </x:row>
    <x:row r="23" ht="44" hidden="0" customHeight="1">
      <x:c r="A23" s="9" t="s">
        <x:v>1741</x:v>
      </x:c>
      <x:c r="B23" s="10" t="str">
        <x:v>BattleResult + CombatTransactionCoordinator + ConstructionController Army settlement adapter</x:v>
      </x:c>
      <x:c r="C23" s="10" t="str">
        <x:v>coordinator-bound authoritative settlement</x:v>
      </x:c>
      <x:c r="D23" s="10" t="str">
        <x:v>transaction/result lifecycle</x:v>
      </x:c>
      <x:c r="E23" s="10" t="str">
        <x:v>CampaignSnapshotV2 settlement_ledger</x:v>
      </x:c>
      <x:c r="F23" s="9" t="str">
        <x:v>BattleSession 只产事实；coordinator/authority applies policy once</x:v>
      </x:c>
      <x:c r="G23" s="9" t="str">
        <x:v>terminal BattleResult snapshot + committed ledger</x:v>
      </x:c>
      <x:c r="H23" s="9" t="str">
        <x:v>BattleSession facts; settlement adapter writes</x:v>
      </x:c>
      <x:c r="I23" s="10" t="str">
        <x:v>无需第二 resolver；继续沿用 coordinator-bound authority</x:v>
      </x:c>
      <x:c r="J23" s="10" t="str">
        <x:v>真实 BattleSession facts、coordinator-bound Army settlement 与幂等 writeback 已由 fresh reviewer 独立接受</x:v>
      </x:c>
      <x:c r="K23" s="9" t="str">
        <x:v>CONFIRMED</x:v>
      </x:c>
      <x:c r="L23" s="10" t="str">
        <x:v>Army writeback runtime implemented / V5-G2 independently accepted</x:v>
      </x:c>
    </x:row>
  </x:sheetData>
  <x:mergeCells>
    <x:mergeCell ref="A1:L1"/>
    <x:mergeCell ref="A2:L2"/>
  </x:mergeCells>
  <x:conditionalFormatting sqref="K5:K23">
    <x:cfRule type="containsText" dxfId="79" priority="2" aboveAverage="0" percent="0" bottom="0" operator="containsText" text="CONFLICTED" rank="0" equalAverage="0">
      <x:formula>NOT(ISERROR(SEARCH("CONFLICTED",K5)))</x:formula>
    </x:cfRule>
    <x:cfRule type="containsText" dxfId="80" priority="3" aboveAverage="0" percent="0" bottom="0" operator="containsText" text="CONFIRMED" rank="0" equalAverage="0">
      <x:formula>NOT(ISERROR(SEARCH("CONFIRMED",K5)))</x:formula>
    </x:cfRule>
  </x:conditionalFormatting>
  <x:dataValidations count="1">
    <x:dataValidation type="list" errorStyle="stop" operator="between" allowBlank="0" showDropDown="0" showInputMessage="0" showErrorMessage="0" sqref="K5:K23">
      <x:formula1>"CONFIRMED,INFERRED,UNVERIFIED,CONFLICTED"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0f644fea1cb4a5b"/>
  </x:tableParts>
</x:worksheet>
</file>